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rinterSettings/printerSettings1.bin" ContentType="application/vnd.openxmlformats-officedocument.spreadsheetml.printerSettings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0liu016\Documents\Desktop\Experiments\CNV_Lei Jin\Experiment_Yingnan Zhang\Paper 3 - Corneal wound healing paper\Submission\"/>
    </mc:Choice>
  </mc:AlternateContent>
  <xr:revisionPtr revIDLastSave="0" documentId="13_ncr:1_{84596BC2-49BF-4C73-8F49-383A8AEECEC0}" xr6:coauthVersionLast="47" xr6:coauthVersionMax="47" xr10:uidLastSave="{00000000-0000-0000-0000-000000000000}"/>
  <bookViews>
    <workbookView xWindow="450" yWindow="120" windowWidth="17820" windowHeight="20880" xr2:uid="{9CDB3F07-E8CD-4EAF-AFCD-8D55685C839F}"/>
  </bookViews>
  <sheets>
    <sheet name="Figure 1" sheetId="1" r:id="rId1"/>
    <sheet name="Figure 2" sheetId="3" r:id="rId2"/>
    <sheet name="Figure 3" sheetId="4" r:id="rId3"/>
    <sheet name="Figure 4" sheetId="2" r:id="rId4"/>
    <sheet name="Figure 5" sheetId="5" r:id="rId5"/>
    <sheet name="Figure 6" sheetId="6" r:id="rId6"/>
  </sheets>
  <externalReferences>
    <externalReference r:id="rId7"/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<sst xmlns="http://schemas.openxmlformats.org/spreadsheetml/2006/main" count="694" uniqueCount="164">
  <si>
    <t>Genotype</t>
  </si>
  <si>
    <t>Eye</t>
  </si>
  <si>
    <t>1d</t>
  </si>
  <si>
    <t>2d</t>
  </si>
  <si>
    <t>3d</t>
  </si>
  <si>
    <t>Area</t>
  </si>
  <si>
    <t>%</t>
  </si>
  <si>
    <t>AVG</t>
  </si>
  <si>
    <t>STD</t>
  </si>
  <si>
    <t>Zeb1 wt</t>
  </si>
  <si>
    <t>Zeb1 het</t>
  </si>
  <si>
    <t>SD</t>
  </si>
  <si>
    <t>0d</t>
  </si>
  <si>
    <t>Cells</t>
  </si>
  <si>
    <t>Time (d)</t>
  </si>
  <si>
    <t>Total</t>
  </si>
  <si>
    <t>Zeb1 wt (n=3)</t>
  </si>
  <si>
    <t>Zeb1 het (n=3)</t>
  </si>
  <si>
    <t>t-test p values</t>
  </si>
  <si>
    <t>Time (h)</t>
  </si>
  <si>
    <t>Ki67+</t>
  </si>
  <si>
    <t>DAPI+</t>
  </si>
  <si>
    <t>Zeb1+</t>
  </si>
  <si>
    <t>TUNEL+</t>
  </si>
  <si>
    <t>Mouse corneal epithelial cell proliferation in vitro</t>
  </si>
  <si>
    <t>fold</t>
  </si>
  <si>
    <t>Tnfa+</t>
  </si>
  <si>
    <t>d1</t>
  </si>
  <si>
    <t>d2</t>
  </si>
  <si>
    <t>d4</t>
  </si>
  <si>
    <t>d5</t>
  </si>
  <si>
    <t>Vect Ctrl</t>
  </si>
  <si>
    <t>ZEB1sh</t>
  </si>
  <si>
    <t>hTCEpi + Vector cells count</t>
  </si>
  <si>
    <t>hTCEpi + ZEB1sh cells count</t>
  </si>
  <si>
    <t>d0</t>
  </si>
  <si>
    <t>Replicate</t>
  </si>
  <si>
    <t>Number of cells</t>
  </si>
  <si>
    <t>Percentage increased (fold)</t>
  </si>
  <si>
    <t>Cdh+</t>
  </si>
  <si>
    <t>hTECpi cell migration assays</t>
  </si>
  <si>
    <t>Time</t>
  </si>
  <si>
    <t>Occupied</t>
  </si>
  <si>
    <t>Vector Ctrl</t>
  </si>
  <si>
    <t>Gap</t>
  </si>
  <si>
    <t>t-test p value</t>
  </si>
  <si>
    <t>Mouse primary corneal epithelial cell migration assays</t>
  </si>
  <si>
    <t>Corneal epithelial Tnfa</t>
  </si>
  <si>
    <t>Corneal stromal Tnfa</t>
  </si>
  <si>
    <t>Corneal endothelial Tnfa</t>
  </si>
  <si>
    <t>Corneal epithelial Ki67</t>
  </si>
  <si>
    <t>Corneal epithelial Zeb1</t>
  </si>
  <si>
    <t>Corneal epithelial Cdh1</t>
  </si>
  <si>
    <t>Corneal endothelial Cdh1</t>
  </si>
  <si>
    <t>Corneal epithelial TUNEL</t>
  </si>
  <si>
    <t>Zeb1 on corneal stromal TUNEL</t>
  </si>
  <si>
    <t>Mouse epithelial debridation wound healing assays</t>
  </si>
  <si>
    <t>Well Name</t>
  </si>
  <si>
    <t>Ct (dR)</t>
  </si>
  <si>
    <t>2-∆Ct</t>
  </si>
  <si>
    <t>2-∆∆Ct</t>
  </si>
  <si>
    <t>ZEB1/mCEC wt</t>
  </si>
  <si>
    <t>ZEB1/mCEC het</t>
  </si>
  <si>
    <t>Cdh1/mCEC wt</t>
  </si>
  <si>
    <t>No Ct</t>
  </si>
  <si>
    <t>Nfkb/mCEC Ctrl</t>
  </si>
  <si>
    <t>Nfkb/mCEC LPS</t>
  </si>
  <si>
    <t>Fas/mCEC wt</t>
  </si>
  <si>
    <t>Fas/mCEC het</t>
  </si>
  <si>
    <t>FasL/mCEC wt</t>
  </si>
  <si>
    <t>FasL/mCEC het</t>
  </si>
  <si>
    <t>Casp8/mCEC wt</t>
  </si>
  <si>
    <t>Casp8/mCEC het</t>
  </si>
  <si>
    <t>Trail/mCEC wt</t>
  </si>
  <si>
    <t>Trail/mCEC het</t>
  </si>
  <si>
    <t>Tnfa/mCEC wt</t>
  </si>
  <si>
    <t>Tnfa/mCEC het</t>
  </si>
  <si>
    <t>Tnfr/mCEC wt</t>
  </si>
  <si>
    <t>Tnfr/mCEC het</t>
  </si>
  <si>
    <t>Gapdh/mCEC wt</t>
  </si>
  <si>
    <t>Gapdh/mCEC het</t>
  </si>
  <si>
    <t>Trail-R/mCEC wt</t>
  </si>
  <si>
    <t>Trail-R/mCEC het</t>
  </si>
  <si>
    <t>Zeb1</t>
  </si>
  <si>
    <t>Casp8</t>
  </si>
  <si>
    <t>Trail</t>
  </si>
  <si>
    <t>Trailr</t>
  </si>
  <si>
    <t>Fasl</t>
  </si>
  <si>
    <t>Fas</t>
  </si>
  <si>
    <t>Tnfa</t>
  </si>
  <si>
    <t>Tnfr</t>
  </si>
  <si>
    <t>Nfkb</t>
  </si>
  <si>
    <t>Mean</t>
  </si>
  <si>
    <t>Cdh1/mCEC het</t>
  </si>
  <si>
    <t>p21/mCEC wt</t>
  </si>
  <si>
    <t>p21/mCEC het</t>
  </si>
  <si>
    <t>p27/mCEC wt</t>
  </si>
  <si>
    <t>p27/mCEC het</t>
  </si>
  <si>
    <t>p15/mCEC wt</t>
  </si>
  <si>
    <t>p16/mCEC wt</t>
  </si>
  <si>
    <t>p15/mCEC het</t>
  </si>
  <si>
    <t>p16/mCEC het</t>
  </si>
  <si>
    <t>Cdh1</t>
  </si>
  <si>
    <t>p15</t>
  </si>
  <si>
    <t>p16</t>
  </si>
  <si>
    <t>p21</t>
  </si>
  <si>
    <t>p27</t>
  </si>
  <si>
    <t>ZEB1/hCECpi Ctrl</t>
  </si>
  <si>
    <t>ZEB1/hCECpi ZEB1sh</t>
  </si>
  <si>
    <t>CDH1/hCECpi Ctrl</t>
  </si>
  <si>
    <t>CDH1/hCECpi ZEB1sh</t>
  </si>
  <si>
    <t>ACTB/hCECpi Ctrl</t>
  </si>
  <si>
    <t>ACTB/hCECpi ZEB1sh</t>
  </si>
  <si>
    <t>ZEB1</t>
  </si>
  <si>
    <t>CDH1</t>
  </si>
  <si>
    <t>P15</t>
  </si>
  <si>
    <t>P19</t>
  </si>
  <si>
    <t>P21</t>
  </si>
  <si>
    <t>P27</t>
  </si>
  <si>
    <t>P15/hCECpi Ctrl</t>
  </si>
  <si>
    <t>P15/hCECpi ZEB1sh</t>
  </si>
  <si>
    <t>P19/hCECpi Ctrl</t>
  </si>
  <si>
    <t>P19/hCECpi ZEB1sh</t>
  </si>
  <si>
    <t>P21/hCECpi Ctrl</t>
  </si>
  <si>
    <t>P21/hCECpi ZEB1sh</t>
  </si>
  <si>
    <t>P27/hCECpi Ctrl</t>
  </si>
  <si>
    <t>P27/hCECpi ZEB1sh</t>
  </si>
  <si>
    <t xml:space="preserve">Real-time quantitative PCR using both vector contro and ZEB1-knokdown  human corneal epithelial cell line (hCECpi) cells </t>
  </si>
  <si>
    <t>Real-time quantitative PCR using mouse corneal epithelial cells (mCEC) from both Zeb1 wt and het mice</t>
  </si>
  <si>
    <t>Vim/mCEC wt</t>
  </si>
  <si>
    <t>Vim/mCEC het</t>
  </si>
  <si>
    <t>Fn1/mCEC wt</t>
  </si>
  <si>
    <t>Fn1/mCEC het</t>
  </si>
  <si>
    <t>Mmp2/mCEC wt</t>
  </si>
  <si>
    <t>Mmp2/mCEC het</t>
  </si>
  <si>
    <t>Mmp7/mCEC wt</t>
  </si>
  <si>
    <t>Mmp7/mCEC het</t>
  </si>
  <si>
    <t>Vim</t>
  </si>
  <si>
    <t>Fn1</t>
  </si>
  <si>
    <t>Mmp2</t>
  </si>
  <si>
    <t>Mmp7</t>
  </si>
  <si>
    <t>FN1/hCECpi Ctrl</t>
  </si>
  <si>
    <t>FN1/hCECpi ZEB1sh</t>
  </si>
  <si>
    <t>ITGA5/hCECpi Ctrl</t>
  </si>
  <si>
    <t>ITGA5/hCECpi ZEB1sh</t>
  </si>
  <si>
    <t>MMP1/hCECpi Ctrl</t>
  </si>
  <si>
    <t>MMP1/hCECpi ZEB1sh</t>
  </si>
  <si>
    <t>MMP3/hCECpi Ctrl</t>
  </si>
  <si>
    <t>MMP3/hCECpi ZEB1sh</t>
  </si>
  <si>
    <t>MMP11/hCECpi Ctrl</t>
  </si>
  <si>
    <t>MMP11/hCECpi ZEB1sh</t>
  </si>
  <si>
    <t>PLAU/hCECpi Ctrl</t>
  </si>
  <si>
    <t>PLAU/hCECpi ZEB1sh</t>
  </si>
  <si>
    <t>VIM</t>
  </si>
  <si>
    <t>FN1</t>
  </si>
  <si>
    <t>ITGA5</t>
  </si>
  <si>
    <t>MMP1</t>
  </si>
  <si>
    <t>MMP3</t>
  </si>
  <si>
    <t>MMP11</t>
  </si>
  <si>
    <t>PLAU</t>
  </si>
  <si>
    <t>VIM/hCECpi Ctrl</t>
  </si>
  <si>
    <t>VIM/hCECpi ZEB1sh</t>
  </si>
  <si>
    <t>Note: mCEC, mouse corneal epithelial cells; wt, Zeb1 wt; het, Zeb1 het; SD, standard deviation.</t>
  </si>
  <si>
    <t>Note: hCECpi, human corneal epithelial cells; Ctrl, vector control; ZEB1sh; ZEB1-knockdown; SD, standard deviation.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</si>
</sst>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2" fillId="0" borderId="1" xfId="0" applyFont="1" applyBorder="1"/>
    <xf numFmtId="0" fontId="3" fillId="0" borderId="1" xfId="0" applyFont="1" applyBorder="1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/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4" borderId="12" xfId="0" applyFill="1" applyBorder="1"/>
    <xf numFmtId="0" fontId="0" fillId="4" borderId="13" xfId="0" applyFill="1" applyBorder="1"/>
    <xf numFmtId="0" fontId="0" fillId="4" borderId="1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4" fillId="0" borderId="0" xfId="0" applyFont="1"/>
    <xf numFmtId="2" fontId="0" fillId="0" borderId="7" xfId="0" applyNumberFormat="1" applyBorder="1" applyAlignment="1">
      <alignment horizontal="right"/>
    </xf>
    <xf numFmtId="2" fontId="0" fillId="0" borderId="6" xfId="0" applyNumberFormat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2" fontId="0" fillId="0" borderId="5" xfId="0" applyNumberFormat="1" applyBorder="1" applyAlignment="1">
      <alignment horizontal="right"/>
    </xf>
    <xf numFmtId="0" fontId="0" fillId="0" borderId="7" xfId="0" applyBorder="1" applyAlignment="1">
      <alignment horizontal="right"/>
    </xf>
    <xf numFmtId="0" fontId="0" fillId="4" borderId="1" xfId="0" applyFill="1" applyBorder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45384951881016"/>
          <c:y val="5.7060367454068242E-2"/>
          <c:w val="0.81148993875765518"/>
          <c:h val="0.700269393409157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'[1]8-19-22'!$Q$26</c:f>
              <c:strCache>
                <c:ptCount val="1"/>
                <c:pt idx="0">
                  <c:v>Zeb1 wt (n=3)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'[1]8-19-22'!$R$27:$R$32</c:f>
                <c:numCache>
                  <c:formatCode>General</c:formatCode>
                  <c:ptCount val="6"/>
                  <c:pt idx="0">
                    <c:v>0.20595483428999098</c:v>
                  </c:pt>
                  <c:pt idx="1">
                    <c:v>5.0430263618867546</c:v>
                  </c:pt>
                  <c:pt idx="2">
                    <c:v>2.541765088136835</c:v>
                  </c:pt>
                  <c:pt idx="3">
                    <c:v>0.65884538534279036</c:v>
                  </c:pt>
                  <c:pt idx="4">
                    <c:v>0.35822940336288156</c:v>
                  </c:pt>
                  <c:pt idx="5">
                    <c:v>0.54284640390372074</c:v>
                  </c:pt>
                </c:numCache>
              </c:numRef>
            </c:plus>
            <c:minus>
              <c:numRef>
                <c:f>'[1]8-19-22'!$R$27:$R$32</c:f>
                <c:numCache>
                  <c:formatCode>General</c:formatCode>
                  <c:ptCount val="6"/>
                  <c:pt idx="0">
                    <c:v>0.20595483428999098</c:v>
                  </c:pt>
                  <c:pt idx="1">
                    <c:v>5.0430263618867546</c:v>
                  </c:pt>
                  <c:pt idx="2">
                    <c:v>2.541765088136835</c:v>
                  </c:pt>
                  <c:pt idx="3">
                    <c:v>0.65884538534279036</c:v>
                  </c:pt>
                  <c:pt idx="4">
                    <c:v>0.35822940336288156</c:v>
                  </c:pt>
                  <c:pt idx="5">
                    <c:v>0.54284640390372074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'[1]8-19-22'!$P$27:$P$32</c:f>
              <c:numCache>
                <c:formatCode>General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1</c:v>
                </c:pt>
                <c:pt idx="3">
                  <c:v>3</c:v>
                </c:pt>
                <c:pt idx="4">
                  <c:v>7</c:v>
                </c:pt>
                <c:pt idx="5">
                  <c:v>14</c:v>
                </c:pt>
              </c:numCache>
            </c:numRef>
          </c:xVal>
          <c:yVal>
            <c:numRef>
              <c:f>'[1]8-19-22'!$Q$27:$Q$32</c:f>
              <c:numCache>
                <c:formatCode>General</c:formatCode>
                <c:ptCount val="6"/>
                <c:pt idx="0">
                  <c:v>3.23164421863763</c:v>
                </c:pt>
                <c:pt idx="1">
                  <c:v>25.845888976493214</c:v>
                </c:pt>
                <c:pt idx="2">
                  <c:v>9.4240480123020856</c:v>
                </c:pt>
                <c:pt idx="3">
                  <c:v>2.5787710293611252</c:v>
                </c:pt>
                <c:pt idx="4">
                  <c:v>2.5894069441878416</c:v>
                </c:pt>
                <c:pt idx="5">
                  <c:v>6.7204676299065431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1C-4B45-B7CF-39D82121D573}"/>
            </c:ext>
          </c:extLst>
        </c:ser>
        <c:ser>
          <c:idx val="1"/>
          <c:order val="1"/>
          <c:tx>
            <c:strRef>
              <c:f>'[1]8-19-22'!$S$26</c:f>
              <c:strCache>
                <c:ptCount val="1"/>
                <c:pt idx="0">
                  <c:v>Zeb1 het (n=3)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'[1]8-19-22'!$T$27:$T$32</c:f>
                <c:numCache>
                  <c:formatCode>General</c:formatCode>
                  <c:ptCount val="6"/>
                  <c:pt idx="0">
                    <c:v>0.401372417772489</c:v>
                  </c:pt>
                  <c:pt idx="1">
                    <c:v>3.650859290325295</c:v>
                  </c:pt>
                  <c:pt idx="2">
                    <c:v>14.8244353255132</c:v>
                  </c:pt>
                  <c:pt idx="3">
                    <c:v>4.4427576107826825</c:v>
                  </c:pt>
                  <c:pt idx="4">
                    <c:v>1.4893983682429179</c:v>
                  </c:pt>
                  <c:pt idx="5">
                    <c:v>14.233257554275957</c:v>
                  </c:pt>
                </c:numCache>
              </c:numRef>
            </c:plus>
            <c:minus>
              <c:numRef>
                <c:f>'[1]8-19-22'!$T$27:$T$32</c:f>
                <c:numCache>
                  <c:formatCode>General</c:formatCode>
                  <c:ptCount val="6"/>
                  <c:pt idx="0">
                    <c:v>0.401372417772489</c:v>
                  </c:pt>
                  <c:pt idx="1">
                    <c:v>3.650859290325295</c:v>
                  </c:pt>
                  <c:pt idx="2">
                    <c:v>14.8244353255132</c:v>
                  </c:pt>
                  <c:pt idx="3">
                    <c:v>4.4427576107826825</c:v>
                  </c:pt>
                  <c:pt idx="4">
                    <c:v>1.4893983682429179</c:v>
                  </c:pt>
                  <c:pt idx="5">
                    <c:v>14.233257554275957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'[1]8-19-22'!$P$27:$P$32</c:f>
              <c:numCache>
                <c:formatCode>General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1</c:v>
                </c:pt>
                <c:pt idx="3">
                  <c:v>3</c:v>
                </c:pt>
                <c:pt idx="4">
                  <c:v>7</c:v>
                </c:pt>
                <c:pt idx="5">
                  <c:v>14</c:v>
                </c:pt>
              </c:numCache>
            </c:numRef>
          </c:xVal>
          <c:yVal>
            <c:numRef>
              <c:f>'[1]8-19-22'!$S$27:$S$32</c:f>
              <c:numCache>
                <c:formatCode>General</c:formatCode>
                <c:ptCount val="6"/>
                <c:pt idx="0">
                  <c:v>1.3984579288784804</c:v>
                </c:pt>
                <c:pt idx="1">
                  <c:v>24.860802165610647</c:v>
                </c:pt>
                <c:pt idx="2">
                  <c:v>66.181720306263543</c:v>
                </c:pt>
                <c:pt idx="3">
                  <c:v>23.780284585449589</c:v>
                </c:pt>
                <c:pt idx="4">
                  <c:v>3.5358459815857355</c:v>
                </c:pt>
                <c:pt idx="5">
                  <c:v>41.907309416085042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1C-4B45-B7CF-39D82121D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62767"/>
        <c:axId val="1194260271"/>
      </c:scatterChart>
      <c:valAx>
        <c:axId val="1194262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after de-epitheliation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260271"/>
        <c:crosses val="autoZero"/>
        <c:crossBetween val="midCat"/>
      </c:valAx>
      <c:valAx>
        <c:axId val="11942602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Epithelial TUNEL/DAPI ratio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262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5990878968183273"/>
          <c:y val="5.7853966170895291E-2"/>
          <c:w val="0.34356351236146632"/>
          <c:h val="0.129662438028579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534273840769903"/>
          <c:y val="5.7060367454068242E-2"/>
          <c:w val="0.79460104986876645"/>
          <c:h val="0.700269393409157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'[1]8-19-22'!$Q$35</c:f>
              <c:strCache>
                <c:ptCount val="1"/>
                <c:pt idx="0">
                  <c:v>Zeb1 wt (n=3)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'[1]8-19-22'!$R$36:$R$41</c:f>
                <c:numCache>
                  <c:formatCode>General</c:formatCode>
                  <c:ptCount val="6"/>
                  <c:pt idx="0">
                    <c:v>1.56321</c:v>
                  </c:pt>
                  <c:pt idx="1">
                    <c:v>12.384513</c:v>
                  </c:pt>
                  <c:pt idx="2">
                    <c:v>15.765214</c:v>
                  </c:pt>
                  <c:pt idx="3">
                    <c:v>1.1122745000000001</c:v>
                  </c:pt>
                  <c:pt idx="4">
                    <c:v>0.245811</c:v>
                  </c:pt>
                  <c:pt idx="5">
                    <c:v>1.453622</c:v>
                  </c:pt>
                </c:numCache>
              </c:numRef>
            </c:plus>
            <c:minus>
              <c:numRef>
                <c:f>'[1]8-19-22'!$R$36:$R$41</c:f>
                <c:numCache>
                  <c:formatCode>General</c:formatCode>
                  <c:ptCount val="6"/>
                  <c:pt idx="0">
                    <c:v>1.56321</c:v>
                  </c:pt>
                  <c:pt idx="1">
                    <c:v>12.384513</c:v>
                  </c:pt>
                  <c:pt idx="2">
                    <c:v>15.765214</c:v>
                  </c:pt>
                  <c:pt idx="3">
                    <c:v>1.1122745000000001</c:v>
                  </c:pt>
                  <c:pt idx="4">
                    <c:v>0.245811</c:v>
                  </c:pt>
                  <c:pt idx="5">
                    <c:v>1.453622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'[1]8-19-22'!$P$36:$P$41</c:f>
              <c:numCache>
                <c:formatCode>General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1</c:v>
                </c:pt>
                <c:pt idx="3">
                  <c:v>3</c:v>
                </c:pt>
                <c:pt idx="4">
                  <c:v>7</c:v>
                </c:pt>
                <c:pt idx="5">
                  <c:v>14</c:v>
                </c:pt>
              </c:numCache>
            </c:numRef>
          </c:xVal>
          <c:yVal>
            <c:numRef>
              <c:f>'[1]8-19-22'!$Q$36:$Q$41</c:f>
              <c:numCache>
                <c:formatCode>General</c:formatCode>
                <c:ptCount val="6"/>
                <c:pt idx="0">
                  <c:v>4.6710526315789469</c:v>
                </c:pt>
                <c:pt idx="1">
                  <c:v>43.987823439878234</c:v>
                </c:pt>
                <c:pt idx="2">
                  <c:v>62.881263616557739</c:v>
                </c:pt>
                <c:pt idx="3">
                  <c:v>4.2316501254226191</c:v>
                </c:pt>
                <c:pt idx="4">
                  <c:v>1.7719568567026194</c:v>
                </c:pt>
                <c:pt idx="5">
                  <c:v>6.5438223482163949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DE-4FDB-9885-8A58535665C7}"/>
            </c:ext>
          </c:extLst>
        </c:ser>
        <c:ser>
          <c:idx val="1"/>
          <c:order val="1"/>
          <c:tx>
            <c:strRef>
              <c:f>'[1]8-19-22'!$S$35</c:f>
              <c:strCache>
                <c:ptCount val="1"/>
                <c:pt idx="0">
                  <c:v>Zeb1 het (n=3)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'[1]8-19-22'!$T$36:$T$41</c:f>
                <c:numCache>
                  <c:formatCode>General</c:formatCode>
                  <c:ptCount val="6"/>
                  <c:pt idx="0">
                    <c:v>0.65223100000000001</c:v>
                  </c:pt>
                  <c:pt idx="1">
                    <c:v>20.1489010878363</c:v>
                  </c:pt>
                  <c:pt idx="2">
                    <c:v>18.927822297409151</c:v>
                  </c:pt>
                  <c:pt idx="3">
                    <c:v>3.7614898595611601</c:v>
                  </c:pt>
                  <c:pt idx="4">
                    <c:v>1.550975423375522</c:v>
                  </c:pt>
                  <c:pt idx="5">
                    <c:v>10.3987972632556</c:v>
                  </c:pt>
                </c:numCache>
              </c:numRef>
            </c:plus>
            <c:minus>
              <c:numRef>
                <c:f>'[1]8-19-22'!$T$36:$T$41</c:f>
                <c:numCache>
                  <c:formatCode>General</c:formatCode>
                  <c:ptCount val="6"/>
                  <c:pt idx="0">
                    <c:v>0.65223100000000001</c:v>
                  </c:pt>
                  <c:pt idx="1">
                    <c:v>20.1489010878363</c:v>
                  </c:pt>
                  <c:pt idx="2">
                    <c:v>18.927822297409151</c:v>
                  </c:pt>
                  <c:pt idx="3">
                    <c:v>3.7614898595611601</c:v>
                  </c:pt>
                  <c:pt idx="4">
                    <c:v>1.550975423375522</c:v>
                  </c:pt>
                  <c:pt idx="5">
                    <c:v>10.3987972632556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'[1]8-19-22'!$P$36:$P$41</c:f>
              <c:numCache>
                <c:formatCode>General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1</c:v>
                </c:pt>
                <c:pt idx="3">
                  <c:v>3</c:v>
                </c:pt>
                <c:pt idx="4">
                  <c:v>7</c:v>
                </c:pt>
                <c:pt idx="5">
                  <c:v>14</c:v>
                </c:pt>
              </c:numCache>
            </c:numRef>
          </c:xVal>
          <c:yVal>
            <c:numRef>
              <c:f>'[1]8-19-22'!$S$36:$S$41</c:f>
              <c:numCache>
                <c:formatCode>General</c:formatCode>
                <c:ptCount val="6"/>
                <c:pt idx="0">
                  <c:v>2.5673940949935816</c:v>
                </c:pt>
                <c:pt idx="1">
                  <c:v>72.895732741746059</c:v>
                </c:pt>
                <c:pt idx="2">
                  <c:v>104.06614258606668</c:v>
                </c:pt>
                <c:pt idx="3">
                  <c:v>20.367122647024434</c:v>
                </c:pt>
                <c:pt idx="4">
                  <c:v>6.3216195569136744</c:v>
                </c:pt>
                <c:pt idx="5">
                  <c:v>13.69811320754717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DE-4FDB-9885-8A5853566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3533855"/>
        <c:axId val="1363547167"/>
      </c:scatterChart>
      <c:valAx>
        <c:axId val="13635338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after de-epitheliation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547167"/>
        <c:crosses val="autoZero"/>
        <c:crossBetween val="midCat"/>
      </c:valAx>
      <c:valAx>
        <c:axId val="13635471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Stromal TUNEL/DAPI ratio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533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7961045494313214"/>
          <c:y val="9.9520632837561976E-2"/>
          <c:w val="0.34356351236146632"/>
          <c:h val="0.134292067658209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48381452318461"/>
          <c:y val="5.0925925925925923E-2"/>
          <c:w val="0.84081714785651795"/>
          <c:h val="0.776859871682706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'[2]10-11-22'!$M$44</c:f>
              <c:strCache>
                <c:ptCount val="1"/>
                <c:pt idx="0">
                  <c:v>Zeb1 wt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'[2]10-11-22'!$N$45:$N$53</c:f>
                <c:numCache>
                  <c:formatCode>General</c:formatCode>
                  <c:ptCount val="9"/>
                  <c:pt idx="0">
                    <c:v>0.31124058930443094</c:v>
                  </c:pt>
                  <c:pt idx="1">
                    <c:v>9.3191837583713008E-2</c:v>
                  </c:pt>
                  <c:pt idx="2">
                    <c:v>0</c:v>
                  </c:pt>
                  <c:pt idx="3">
                    <c:v>3.4312400579124942E-2</c:v>
                  </c:pt>
                  <c:pt idx="4">
                    <c:v>0</c:v>
                  </c:pt>
                  <c:pt idx="5">
                    <c:v>0.27619864320352566</c:v>
                  </c:pt>
                  <c:pt idx="6">
                    <c:v>0</c:v>
                  </c:pt>
                  <c:pt idx="7">
                    <c:v>2.4507680084240105E-2</c:v>
                  </c:pt>
                  <c:pt idx="8">
                    <c:v>0.5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'[2]10-11-22'!$L$45:$L$53</c:f>
              <c:strCache>
                <c:ptCount val="9"/>
                <c:pt idx="0">
                  <c:v>Zeb1</c:v>
                </c:pt>
                <c:pt idx="1">
                  <c:v>Casp8</c:v>
                </c:pt>
                <c:pt idx="2">
                  <c:v>Trail</c:v>
                </c:pt>
                <c:pt idx="3">
                  <c:v>Trailr</c:v>
                </c:pt>
                <c:pt idx="4">
                  <c:v>Fasl</c:v>
                </c:pt>
                <c:pt idx="5">
                  <c:v>Fas</c:v>
                </c:pt>
                <c:pt idx="6">
                  <c:v>Tnfa</c:v>
                </c:pt>
                <c:pt idx="7">
                  <c:v>Tnfr</c:v>
                </c:pt>
                <c:pt idx="8">
                  <c:v>Nfkb</c:v>
                </c:pt>
              </c:strCache>
            </c:strRef>
          </c:cat>
          <c:val>
            <c:numRef>
              <c:f>'[2]10-11-22'!$M$45:$M$53</c:f>
              <c:numCache>
                <c:formatCode>General</c:formatCode>
                <c:ptCount val="9"/>
                <c:pt idx="0">
                  <c:v>1.0239313220208128</c:v>
                </c:pt>
                <c:pt idx="1">
                  <c:v>1.0021688277411718</c:v>
                </c:pt>
                <c:pt idx="2">
                  <c:v>0</c:v>
                </c:pt>
                <c:pt idx="3">
                  <c:v>1.0002942919045106</c:v>
                </c:pt>
                <c:pt idx="4">
                  <c:v>0</c:v>
                </c:pt>
                <c:pt idx="5">
                  <c:v>1.0188929508313103</c:v>
                </c:pt>
                <c:pt idx="6">
                  <c:v>0</c:v>
                </c:pt>
                <c:pt idx="7">
                  <c:v>1.0001501453239687</c:v>
                </c:pt>
                <c:pt idx="8">
                  <c:v>1.0606601717798214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7-4F71-A898-C0C974F181FA}"/>
            </c:ext>
          </c:extLst>
        </c:ser>
        <c:ser>
          <c:idx val="1"/>
          <c:order val="1"/>
          <c:tx>
            <c:strRef>
              <c:f>'[2]10-11-22'!$O$44</c:f>
              <c:strCache>
                <c:ptCount val="1"/>
                <c:pt idx="0">
                  <c:v>Zeb1 het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'[2]10-11-22'!$P$45:$P$53</c:f>
                <c:numCache>
                  <c:formatCode>General</c:formatCode>
                  <c:ptCount val="9"/>
                  <c:pt idx="0">
                    <c:v>0.18841982631365001</c:v>
                  </c:pt>
                  <c:pt idx="1">
                    <c:v>0.53851344225709663</c:v>
                  </c:pt>
                  <c:pt idx="2">
                    <c:v>0</c:v>
                  </c:pt>
                  <c:pt idx="3">
                    <c:v>0.5344284686092412</c:v>
                  </c:pt>
                  <c:pt idx="4">
                    <c:v>0</c:v>
                  </c:pt>
                  <c:pt idx="5">
                    <c:v>3.8428579376232799</c:v>
                  </c:pt>
                  <c:pt idx="6">
                    <c:v>0</c:v>
                  </c:pt>
                  <c:pt idx="7">
                    <c:v>0.56306403334171884</c:v>
                  </c:pt>
                  <c:pt idx="8">
                    <c:v>0.15856307543111642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'[2]10-11-22'!$L$45:$L$53</c:f>
              <c:strCache>
                <c:ptCount val="9"/>
                <c:pt idx="0">
                  <c:v>Zeb1</c:v>
                </c:pt>
                <c:pt idx="1">
                  <c:v>Casp8</c:v>
                </c:pt>
                <c:pt idx="2">
                  <c:v>Trail</c:v>
                </c:pt>
                <c:pt idx="3">
                  <c:v>Trailr</c:v>
                </c:pt>
                <c:pt idx="4">
                  <c:v>Fasl</c:v>
                </c:pt>
                <c:pt idx="5">
                  <c:v>Fas</c:v>
                </c:pt>
                <c:pt idx="6">
                  <c:v>Tnfa</c:v>
                </c:pt>
                <c:pt idx="7">
                  <c:v>Tnfr</c:v>
                </c:pt>
                <c:pt idx="8">
                  <c:v>Nfkb</c:v>
                </c:pt>
              </c:strCache>
            </c:strRef>
          </c:cat>
          <c:val>
            <c:numRef>
              <c:f>'[2]10-11-22'!$O$45:$O$53</c:f>
              <c:numCache>
                <c:formatCode>General</c:formatCode>
                <c:ptCount val="9"/>
                <c:pt idx="0">
                  <c:v>0.43192288846296123</c:v>
                </c:pt>
                <c:pt idx="1">
                  <c:v>3.4475578602390451</c:v>
                </c:pt>
                <c:pt idx="2">
                  <c:v>0</c:v>
                </c:pt>
                <c:pt idx="3">
                  <c:v>3.5308880258966022</c:v>
                </c:pt>
                <c:pt idx="4">
                  <c:v>0</c:v>
                </c:pt>
                <c:pt idx="5">
                  <c:v>12.818294071316506</c:v>
                </c:pt>
                <c:pt idx="6">
                  <c:v>0</c:v>
                </c:pt>
                <c:pt idx="7">
                  <c:v>1.9421976137783874</c:v>
                </c:pt>
                <c:pt idx="8">
                  <c:v>0.49150236133990122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37-4F71-A898-C0C974F18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10598208"/>
        <c:axId val="1010596960"/>
      </c:barChart>
      <c:catAx>
        <c:axId val="1010598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596960"/>
        <c:crosses val="autoZero"/>
        <c:auto val="1"/>
        <c:lblAlgn val="ctr"/>
        <c:lblOffset val="100"/>
        <c:noMultiLvlLbl val="0"/>
      </c:catAx>
      <c:valAx>
        <c:axId val="10105969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abundance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59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518985126859142"/>
          <c:y val="6.5392971711869349E-2"/>
          <c:w val="0.18180039109842147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369203849518808"/>
          <c:y val="5.0925925925925923E-2"/>
          <c:w val="0.83166863517060352"/>
          <c:h val="0.78611913094196562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'[1]9-27-22 Tnfa'!$D$125</c:f>
              <c:strCache>
                <c:ptCount val="1"/>
                <c:pt idx="0">
                  <c:v>Zeb1 wt (n=3)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'[1]9-27-22 Tnfa'!$E$126:$E$131</c:f>
                <c:numCache>
                  <c:formatCode>General</c:formatCode>
                  <c:ptCount val="6"/>
                  <c:pt idx="0">
                    <c:v>0.75219978229839202</c:v>
                  </c:pt>
                  <c:pt idx="1">
                    <c:v>27.856208547157518</c:v>
                  </c:pt>
                  <c:pt idx="2">
                    <c:v>7.1378984508868202</c:v>
                  </c:pt>
                  <c:pt idx="3">
                    <c:v>22.135897356552764</c:v>
                  </c:pt>
                  <c:pt idx="4">
                    <c:v>1.1600761884780291</c:v>
                  </c:pt>
                  <c:pt idx="5">
                    <c:v>1.6462597754949861</c:v>
                  </c:pt>
                </c:numCache>
              </c:numRef>
            </c:plus>
            <c:minus>
              <c:numRef>
                <c:f>'[1]9-27-22 Tnfa'!$E$126:$E$131</c:f>
                <c:numCache>
                  <c:formatCode>General</c:formatCode>
                  <c:ptCount val="6"/>
                  <c:pt idx="0">
                    <c:v>0.75219978229839202</c:v>
                  </c:pt>
                  <c:pt idx="1">
                    <c:v>27.856208547157518</c:v>
                  </c:pt>
                  <c:pt idx="2">
                    <c:v>7.1378984508868202</c:v>
                  </c:pt>
                  <c:pt idx="3">
                    <c:v>22.135897356552764</c:v>
                  </c:pt>
                  <c:pt idx="4">
                    <c:v>1.1600761884780291</c:v>
                  </c:pt>
                  <c:pt idx="5">
                    <c:v>1.6462597754949861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'[1]9-27-22 Tnfa'!$C$126:$C$131</c:f>
              <c:numCache>
                <c:formatCode>General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1</c:v>
                </c:pt>
                <c:pt idx="3">
                  <c:v>3</c:v>
                </c:pt>
                <c:pt idx="4">
                  <c:v>7</c:v>
                </c:pt>
                <c:pt idx="5">
                  <c:v>14</c:v>
                </c:pt>
              </c:numCache>
            </c:numRef>
          </c:xVal>
          <c:yVal>
            <c:numRef>
              <c:f>'[1]9-27-22 Tnfa'!$D$126:$D$131</c:f>
              <c:numCache>
                <c:formatCode>General</c:formatCode>
                <c:ptCount val="6"/>
                <c:pt idx="0">
                  <c:v>3.8929760333763759</c:v>
                </c:pt>
                <c:pt idx="1">
                  <c:v>179.69481071437852</c:v>
                </c:pt>
                <c:pt idx="2">
                  <c:v>107.83657287958606</c:v>
                </c:pt>
                <c:pt idx="3">
                  <c:v>37.195559028146739</c:v>
                </c:pt>
                <c:pt idx="4">
                  <c:v>10.056248515332724</c:v>
                </c:pt>
                <c:pt idx="5">
                  <c:v>4.3966889891288741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1A-4A98-A7B6-35C3020853B4}"/>
            </c:ext>
          </c:extLst>
        </c:ser>
        <c:ser>
          <c:idx val="1"/>
          <c:order val="1"/>
          <c:tx>
            <c:strRef>
              <c:f>'[1]9-27-22 Tnfa'!$F$125</c:f>
              <c:strCache>
                <c:ptCount val="1"/>
                <c:pt idx="0">
                  <c:v>Zeb1 het (n=3)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'[1]9-27-22 Tnfa'!$G$126:$G$131</c:f>
                <c:numCache>
                  <c:formatCode>General</c:formatCode>
                  <c:ptCount val="6"/>
                  <c:pt idx="0">
                    <c:v>0.72322354372211006</c:v>
                  </c:pt>
                  <c:pt idx="1">
                    <c:v>35.870273288666958</c:v>
                  </c:pt>
                  <c:pt idx="2">
                    <c:v>42.573287739165302</c:v>
                  </c:pt>
                  <c:pt idx="3">
                    <c:v>6.1915498474175372</c:v>
                  </c:pt>
                  <c:pt idx="4">
                    <c:v>1.6578042944061879</c:v>
                  </c:pt>
                  <c:pt idx="5">
                    <c:v>0.48849988689842516</c:v>
                  </c:pt>
                </c:numCache>
              </c:numRef>
            </c:plus>
            <c:minus>
              <c:numRef>
                <c:f>'[1]9-27-22 Tnfa'!$G$126:$G$131</c:f>
                <c:numCache>
                  <c:formatCode>General</c:formatCode>
                  <c:ptCount val="6"/>
                  <c:pt idx="0">
                    <c:v>0.72322354372211006</c:v>
                  </c:pt>
                  <c:pt idx="1">
                    <c:v>35.870273288666958</c:v>
                  </c:pt>
                  <c:pt idx="2">
                    <c:v>42.573287739165302</c:v>
                  </c:pt>
                  <c:pt idx="3">
                    <c:v>6.1915498474175372</c:v>
                  </c:pt>
                  <c:pt idx="4">
                    <c:v>1.6578042944061879</c:v>
                  </c:pt>
                  <c:pt idx="5">
                    <c:v>0.48849988689842516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'[1]9-27-22 Tnfa'!$C$126:$C$131</c:f>
              <c:numCache>
                <c:formatCode>General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1</c:v>
                </c:pt>
                <c:pt idx="3">
                  <c:v>3</c:v>
                </c:pt>
                <c:pt idx="4">
                  <c:v>7</c:v>
                </c:pt>
                <c:pt idx="5">
                  <c:v>14</c:v>
                </c:pt>
              </c:numCache>
            </c:numRef>
          </c:xVal>
          <c:yVal>
            <c:numRef>
              <c:f>'[1]9-27-22 Tnfa'!$F$126:$F$131</c:f>
              <c:numCache>
                <c:formatCode>General</c:formatCode>
                <c:ptCount val="6"/>
                <c:pt idx="0">
                  <c:v>5.2951402854903105</c:v>
                </c:pt>
                <c:pt idx="1">
                  <c:v>245.07610841571966</c:v>
                </c:pt>
                <c:pt idx="2">
                  <c:v>181.4270293315561</c:v>
                </c:pt>
                <c:pt idx="3">
                  <c:v>120.64977268268751</c:v>
                </c:pt>
                <c:pt idx="4">
                  <c:v>6.7088172022981496</c:v>
                </c:pt>
                <c:pt idx="5">
                  <c:v>4.4620756910112398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1A-4A98-A7B6-35C302085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0095344"/>
        <c:axId val="2030073712"/>
      </c:scatterChart>
      <c:valAx>
        <c:axId val="2030095344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after debridement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073712"/>
        <c:crosses val="autoZero"/>
        <c:crossBetween val="midCat"/>
        <c:majorUnit val="3"/>
      </c:valAx>
      <c:valAx>
        <c:axId val="20300737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Epithelial Tnfa/DAPI ratio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0953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854203932645488"/>
          <c:y val="8.3911490230387867E-2"/>
          <c:w val="0.2809021880197744"/>
          <c:h val="0.137732575094779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81714785651792"/>
          <c:y val="5.0925925925925923E-2"/>
          <c:w val="0.81287685914260721"/>
          <c:h val="0.74350320793234181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'[1]9-27-22 Tnfa'!$D$134</c:f>
              <c:strCache>
                <c:ptCount val="1"/>
                <c:pt idx="0">
                  <c:v>Zeb1 wt (n=3)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'[1]9-27-22 Tnfa'!$E$135:$E$140</c:f>
                <c:numCache>
                  <c:formatCode>General</c:formatCode>
                  <c:ptCount val="6"/>
                  <c:pt idx="0">
                    <c:v>4.1153044901236528</c:v>
                  </c:pt>
                  <c:pt idx="1">
                    <c:v>19.868699435760494</c:v>
                  </c:pt>
                  <c:pt idx="2">
                    <c:v>32.692585608637145</c:v>
                  </c:pt>
                  <c:pt idx="3">
                    <c:v>28.278513378162941</c:v>
                  </c:pt>
                  <c:pt idx="4">
                    <c:v>88.748934175001665</c:v>
                  </c:pt>
                  <c:pt idx="5">
                    <c:v>117.84124837562032</c:v>
                  </c:pt>
                </c:numCache>
              </c:numRef>
            </c:plus>
            <c:minus>
              <c:numRef>
                <c:f>'[1]9-27-22 Tnfa'!$E$135:$E$140</c:f>
                <c:numCache>
                  <c:formatCode>General</c:formatCode>
                  <c:ptCount val="6"/>
                  <c:pt idx="0">
                    <c:v>4.1153044901236528</c:v>
                  </c:pt>
                  <c:pt idx="1">
                    <c:v>19.868699435760494</c:v>
                  </c:pt>
                  <c:pt idx="2">
                    <c:v>32.692585608637145</c:v>
                  </c:pt>
                  <c:pt idx="3">
                    <c:v>28.278513378162941</c:v>
                  </c:pt>
                  <c:pt idx="4">
                    <c:v>88.748934175001665</c:v>
                  </c:pt>
                  <c:pt idx="5">
                    <c:v>117.84124837562032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'[1]9-27-22 Tnfa'!$C$135:$C$140</c:f>
              <c:numCache>
                <c:formatCode>General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1</c:v>
                </c:pt>
                <c:pt idx="3">
                  <c:v>3</c:v>
                </c:pt>
                <c:pt idx="4">
                  <c:v>7</c:v>
                </c:pt>
                <c:pt idx="5">
                  <c:v>14</c:v>
                </c:pt>
              </c:numCache>
            </c:numRef>
          </c:xVal>
          <c:yVal>
            <c:numRef>
              <c:f>'[1]9-27-22 Tnfa'!$D$135:$D$140</c:f>
              <c:numCache>
                <c:formatCode>General</c:formatCode>
                <c:ptCount val="6"/>
                <c:pt idx="0">
                  <c:v>15.486732226386186</c:v>
                </c:pt>
                <c:pt idx="1">
                  <c:v>193.52446470226178</c:v>
                </c:pt>
                <c:pt idx="2">
                  <c:v>68.33088352108696</c:v>
                </c:pt>
                <c:pt idx="3">
                  <c:v>63.32356649057531</c:v>
                </c:pt>
                <c:pt idx="4">
                  <c:v>64.646389915081571</c:v>
                </c:pt>
                <c:pt idx="5">
                  <c:v>85.866459523526501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EE-49D9-90F3-09BA330CDB05}"/>
            </c:ext>
          </c:extLst>
        </c:ser>
        <c:ser>
          <c:idx val="1"/>
          <c:order val="1"/>
          <c:tx>
            <c:strRef>
              <c:f>'[1]9-27-22 Tnfa'!$F$134</c:f>
              <c:strCache>
                <c:ptCount val="1"/>
                <c:pt idx="0">
                  <c:v>Zeb1 het (n=3)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'[1]9-27-22 Tnfa'!$G$135:$G$140</c:f>
                <c:numCache>
                  <c:formatCode>General</c:formatCode>
                  <c:ptCount val="6"/>
                  <c:pt idx="0">
                    <c:v>14.477251026020715</c:v>
                  </c:pt>
                  <c:pt idx="1">
                    <c:v>165.92136252333998</c:v>
                  </c:pt>
                  <c:pt idx="2">
                    <c:v>158.96632284147236</c:v>
                  </c:pt>
                  <c:pt idx="3">
                    <c:v>330.55853490795528</c:v>
                  </c:pt>
                  <c:pt idx="4">
                    <c:v>45.940061222334791</c:v>
                  </c:pt>
                  <c:pt idx="5">
                    <c:v>28.197070236420451</c:v>
                  </c:pt>
                </c:numCache>
              </c:numRef>
            </c:plus>
            <c:minus>
              <c:numRef>
                <c:f>'[1]9-27-22 Tnfa'!$G$135:$G$140</c:f>
                <c:numCache>
                  <c:formatCode>General</c:formatCode>
                  <c:ptCount val="6"/>
                  <c:pt idx="0">
                    <c:v>14.477251026020715</c:v>
                  </c:pt>
                  <c:pt idx="1">
                    <c:v>165.92136252333998</c:v>
                  </c:pt>
                  <c:pt idx="2">
                    <c:v>158.96632284147236</c:v>
                  </c:pt>
                  <c:pt idx="3">
                    <c:v>330.55853490795528</c:v>
                  </c:pt>
                  <c:pt idx="4">
                    <c:v>45.940061222334791</c:v>
                  </c:pt>
                  <c:pt idx="5">
                    <c:v>28.197070236420451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'[1]9-27-22 Tnfa'!$C$135:$C$140</c:f>
              <c:numCache>
                <c:formatCode>General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1</c:v>
                </c:pt>
                <c:pt idx="3">
                  <c:v>3</c:v>
                </c:pt>
                <c:pt idx="4">
                  <c:v>7</c:v>
                </c:pt>
                <c:pt idx="5">
                  <c:v>14</c:v>
                </c:pt>
              </c:numCache>
            </c:numRef>
          </c:xVal>
          <c:yVal>
            <c:numRef>
              <c:f>'[1]9-27-22 Tnfa'!$F$135:$F$140</c:f>
              <c:numCache>
                <c:formatCode>General</c:formatCode>
                <c:ptCount val="6"/>
                <c:pt idx="0">
                  <c:v>31.440397570610969</c:v>
                </c:pt>
                <c:pt idx="1">
                  <c:v>790.21856081317526</c:v>
                </c:pt>
                <c:pt idx="2">
                  <c:v>893.74065636712055</c:v>
                </c:pt>
                <c:pt idx="3">
                  <c:v>839.02171402171405</c:v>
                </c:pt>
                <c:pt idx="4">
                  <c:v>119.70925222579278</c:v>
                </c:pt>
                <c:pt idx="5">
                  <c:v>155.539660046557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EE-49D9-90F3-09BA330CD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7093600"/>
        <c:axId val="1537095680"/>
      </c:scatterChart>
      <c:valAx>
        <c:axId val="1537093600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after debridemt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095680"/>
        <c:crosses val="autoZero"/>
        <c:crossBetween val="midCat"/>
        <c:majorUnit val="3"/>
      </c:valAx>
      <c:valAx>
        <c:axId val="1537095680"/>
        <c:scaling>
          <c:orientation val="minMax"/>
          <c:max val="12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Stromal Tnfa/DAPI ratio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093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4122887741387227"/>
          <c:y val="6.5392971711869349E-2"/>
          <c:w val="0.2948820899843359"/>
          <c:h val="0.128473315835520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81714785651792"/>
          <c:y val="5.0925925925925923E-2"/>
          <c:w val="0.81287685914260721"/>
          <c:h val="0.74350320793234181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'[1]9-27-22 Tnfa'!$D$143</c:f>
              <c:strCache>
                <c:ptCount val="1"/>
                <c:pt idx="0">
                  <c:v>Zeb1 wt (n=3)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'[1]9-27-22 Tnfa'!$E$144:$E$149</c:f>
                <c:numCache>
                  <c:formatCode>General</c:formatCode>
                  <c:ptCount val="6"/>
                  <c:pt idx="0">
                    <c:v>0.27879914462315142</c:v>
                  </c:pt>
                  <c:pt idx="1">
                    <c:v>15.732950643058073</c:v>
                  </c:pt>
                  <c:pt idx="2">
                    <c:v>9.1542515849910426</c:v>
                  </c:pt>
                  <c:pt idx="3">
                    <c:v>38.958635935914394</c:v>
                  </c:pt>
                  <c:pt idx="4">
                    <c:v>58.04282957562004</c:v>
                  </c:pt>
                  <c:pt idx="5">
                    <c:v>81.733487894809102</c:v>
                  </c:pt>
                </c:numCache>
              </c:numRef>
            </c:plus>
            <c:minus>
              <c:numRef>
                <c:f>'[1]9-27-22 Tnfa'!$E$144:$E$149</c:f>
                <c:numCache>
                  <c:formatCode>General</c:formatCode>
                  <c:ptCount val="6"/>
                  <c:pt idx="0">
                    <c:v>0.27879914462315142</c:v>
                  </c:pt>
                  <c:pt idx="1">
                    <c:v>15.732950643058073</c:v>
                  </c:pt>
                  <c:pt idx="2">
                    <c:v>9.1542515849910426</c:v>
                  </c:pt>
                  <c:pt idx="3">
                    <c:v>38.958635935914394</c:v>
                  </c:pt>
                  <c:pt idx="4">
                    <c:v>58.04282957562004</c:v>
                  </c:pt>
                  <c:pt idx="5">
                    <c:v>81.733487894809102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'[1]9-27-22 Tnfa'!$C$144:$C$149</c:f>
              <c:numCache>
                <c:formatCode>General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1</c:v>
                </c:pt>
                <c:pt idx="3">
                  <c:v>3</c:v>
                </c:pt>
                <c:pt idx="4">
                  <c:v>7</c:v>
                </c:pt>
                <c:pt idx="5">
                  <c:v>14</c:v>
                </c:pt>
              </c:numCache>
            </c:numRef>
          </c:xVal>
          <c:yVal>
            <c:numRef>
              <c:f>'[1]9-27-22 Tnfa'!$D$144:$D$149</c:f>
              <c:numCache>
                <c:formatCode>General</c:formatCode>
                <c:ptCount val="6"/>
                <c:pt idx="0">
                  <c:v>0.7981829903009604</c:v>
                </c:pt>
                <c:pt idx="1">
                  <c:v>265.23466888906597</c:v>
                </c:pt>
                <c:pt idx="2">
                  <c:v>219.69043773010608</c:v>
                </c:pt>
                <c:pt idx="3">
                  <c:v>232.77904038132627</c:v>
                </c:pt>
                <c:pt idx="4">
                  <c:v>300.20413000873128</c:v>
                </c:pt>
                <c:pt idx="5">
                  <c:v>98.105810769786942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4B-4BAF-B85C-6593A3BE8DD1}"/>
            </c:ext>
          </c:extLst>
        </c:ser>
        <c:ser>
          <c:idx val="1"/>
          <c:order val="1"/>
          <c:tx>
            <c:strRef>
              <c:f>'[1]9-27-22 Tnfa'!$F$143</c:f>
              <c:strCache>
                <c:ptCount val="1"/>
                <c:pt idx="0">
                  <c:v>Zeb1 het (n=3)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'[1]9-27-22 Tnfa'!$G$144:$G$149</c:f>
                <c:numCache>
                  <c:formatCode>General</c:formatCode>
                  <c:ptCount val="6"/>
                  <c:pt idx="0">
                    <c:v>0.22530984792546332</c:v>
                  </c:pt>
                  <c:pt idx="1">
                    <c:v>80.400433464199381</c:v>
                  </c:pt>
                  <c:pt idx="2">
                    <c:v>15.683729517389439</c:v>
                  </c:pt>
                  <c:pt idx="3">
                    <c:v>134.08402642279188</c:v>
                  </c:pt>
                  <c:pt idx="4">
                    <c:v>9.12659598033758</c:v>
                  </c:pt>
                  <c:pt idx="5">
                    <c:v>42.940936883501998</c:v>
                  </c:pt>
                </c:numCache>
              </c:numRef>
            </c:plus>
            <c:minus>
              <c:numRef>
                <c:f>'[1]9-27-22 Tnfa'!$G$144:$G$149</c:f>
                <c:numCache>
                  <c:formatCode>General</c:formatCode>
                  <c:ptCount val="6"/>
                  <c:pt idx="0">
                    <c:v>0.22530984792546332</c:v>
                  </c:pt>
                  <c:pt idx="1">
                    <c:v>80.400433464199381</c:v>
                  </c:pt>
                  <c:pt idx="2">
                    <c:v>15.683729517389439</c:v>
                  </c:pt>
                  <c:pt idx="3">
                    <c:v>134.08402642279188</c:v>
                  </c:pt>
                  <c:pt idx="4">
                    <c:v>9.12659598033758</c:v>
                  </c:pt>
                  <c:pt idx="5">
                    <c:v>42.940936883501998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'[1]9-27-22 Tnfa'!$C$144:$C$149</c:f>
              <c:numCache>
                <c:formatCode>General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1</c:v>
                </c:pt>
                <c:pt idx="3">
                  <c:v>3</c:v>
                </c:pt>
                <c:pt idx="4">
                  <c:v>7</c:v>
                </c:pt>
                <c:pt idx="5">
                  <c:v>14</c:v>
                </c:pt>
              </c:numCache>
            </c:numRef>
          </c:xVal>
          <c:yVal>
            <c:numRef>
              <c:f>'[1]9-27-22 Tnfa'!$F$144:$F$149</c:f>
              <c:numCache>
                <c:formatCode>General</c:formatCode>
                <c:ptCount val="6"/>
                <c:pt idx="0">
                  <c:v>0.73690504924815681</c:v>
                </c:pt>
                <c:pt idx="1">
                  <c:v>1033.2993709392474</c:v>
                </c:pt>
                <c:pt idx="2">
                  <c:v>1051.1799066705701</c:v>
                </c:pt>
                <c:pt idx="3">
                  <c:v>735.91836727976749</c:v>
                </c:pt>
                <c:pt idx="4">
                  <c:v>69.228376982213902</c:v>
                </c:pt>
                <c:pt idx="5">
                  <c:v>149.35254716112777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4B-4BAF-B85C-6593A3BE8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831888"/>
        <c:axId val="2034834384"/>
      </c:scatterChart>
      <c:valAx>
        <c:axId val="2034831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after debridement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834384"/>
        <c:crosses val="autoZero"/>
        <c:crossBetween val="midCat"/>
      </c:valAx>
      <c:valAx>
        <c:axId val="2034834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Endothelial Tnfa/DAPI ratio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831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384514451586059"/>
          <c:y val="3.2985564304461944E-2"/>
          <c:w val="0.29186595365497381"/>
          <c:h val="0.133102945465150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271243017699709"/>
          <c:y val="5.7060367454068242E-2"/>
          <c:w val="0.7674414159768489"/>
          <c:h val="0.700269393409157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'[1]8-24-22'!$S$9</c:f>
              <c:strCache>
                <c:ptCount val="1"/>
                <c:pt idx="0">
                  <c:v>Zeb1 wt (n=3)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'[1]8-24-22'!$T$10:$T$15</c:f>
                <c:numCache>
                  <c:formatCode>General</c:formatCode>
                  <c:ptCount val="6"/>
                  <c:pt idx="0">
                    <c:v>5.0667103604203775E-2</c:v>
                  </c:pt>
                  <c:pt idx="1">
                    <c:v>0.98009476997638012</c:v>
                  </c:pt>
                  <c:pt idx="2">
                    <c:v>2.4458465439947199</c:v>
                  </c:pt>
                  <c:pt idx="3">
                    <c:v>2.6380340015281671</c:v>
                  </c:pt>
                  <c:pt idx="4">
                    <c:v>4.12597062644112</c:v>
                  </c:pt>
                  <c:pt idx="5">
                    <c:v>7.4087967169173004</c:v>
                  </c:pt>
                </c:numCache>
              </c:numRef>
            </c:plus>
            <c:minus>
              <c:numRef>
                <c:f>'[1]8-24-22'!$T$10:$T$15</c:f>
                <c:numCache>
                  <c:formatCode>General</c:formatCode>
                  <c:ptCount val="6"/>
                  <c:pt idx="0">
                    <c:v>5.0667103604203775E-2</c:v>
                  </c:pt>
                  <c:pt idx="1">
                    <c:v>0.98009476997638012</c:v>
                  </c:pt>
                  <c:pt idx="2">
                    <c:v>2.4458465439947199</c:v>
                  </c:pt>
                  <c:pt idx="3">
                    <c:v>2.6380340015281671</c:v>
                  </c:pt>
                  <c:pt idx="4">
                    <c:v>4.12597062644112</c:v>
                  </c:pt>
                  <c:pt idx="5">
                    <c:v>7.4087967169173004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'[1]8-24-22'!$R$10:$R$15</c:f>
              <c:numCache>
                <c:formatCode>General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1</c:v>
                </c:pt>
                <c:pt idx="3">
                  <c:v>3</c:v>
                </c:pt>
                <c:pt idx="4">
                  <c:v>7</c:v>
                </c:pt>
                <c:pt idx="5">
                  <c:v>14</c:v>
                </c:pt>
              </c:numCache>
            </c:numRef>
          </c:xVal>
          <c:yVal>
            <c:numRef>
              <c:f>'[1]8-24-22'!$S$10:$S$15</c:f>
              <c:numCache>
                <c:formatCode>General</c:formatCode>
                <c:ptCount val="6"/>
                <c:pt idx="0">
                  <c:v>8.6575388211721496</c:v>
                </c:pt>
                <c:pt idx="1">
                  <c:v>13.672217353198949</c:v>
                </c:pt>
                <c:pt idx="2">
                  <c:v>8.9280636906454358</c:v>
                </c:pt>
                <c:pt idx="3">
                  <c:v>8.1139284473775621</c:v>
                </c:pt>
                <c:pt idx="4">
                  <c:v>10.307380820909257</c:v>
                </c:pt>
                <c:pt idx="5">
                  <c:v>25.313283208020049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F6-44E1-A859-93E0F44CC027}"/>
            </c:ext>
          </c:extLst>
        </c:ser>
        <c:ser>
          <c:idx val="1"/>
          <c:order val="1"/>
          <c:tx>
            <c:strRef>
              <c:f>'[1]8-24-22'!$U$9</c:f>
              <c:strCache>
                <c:ptCount val="1"/>
                <c:pt idx="0">
                  <c:v>Zeb1 het (n=3)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'[1]8-24-22'!$V$10:$V$15</c:f>
                <c:numCache>
                  <c:formatCode>General</c:formatCode>
                  <c:ptCount val="6"/>
                  <c:pt idx="0">
                    <c:v>2.2557283991903749</c:v>
                  </c:pt>
                  <c:pt idx="1">
                    <c:v>0.61791287330396849</c:v>
                  </c:pt>
                  <c:pt idx="2">
                    <c:v>2.9887552747181712</c:v>
                  </c:pt>
                  <c:pt idx="3">
                    <c:v>6.0795012779133373</c:v>
                  </c:pt>
                  <c:pt idx="4">
                    <c:v>0.32255714132742141</c:v>
                  </c:pt>
                  <c:pt idx="5">
                    <c:v>1.2239642166858957</c:v>
                  </c:pt>
                </c:numCache>
              </c:numRef>
            </c:plus>
            <c:minus>
              <c:numRef>
                <c:f>'[1]8-24-22'!$V$10:$V$15</c:f>
                <c:numCache>
                  <c:formatCode>General</c:formatCode>
                  <c:ptCount val="6"/>
                  <c:pt idx="0">
                    <c:v>2.2557283991903749</c:v>
                  </c:pt>
                  <c:pt idx="1">
                    <c:v>0.61791287330396849</c:v>
                  </c:pt>
                  <c:pt idx="2">
                    <c:v>2.9887552747181712</c:v>
                  </c:pt>
                  <c:pt idx="3">
                    <c:v>6.0795012779133373</c:v>
                  </c:pt>
                  <c:pt idx="4">
                    <c:v>0.32255714132742141</c:v>
                  </c:pt>
                  <c:pt idx="5">
                    <c:v>1.2239642166858957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'[1]8-24-22'!$R$10:$R$15</c:f>
              <c:numCache>
                <c:formatCode>General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1</c:v>
                </c:pt>
                <c:pt idx="3">
                  <c:v>3</c:v>
                </c:pt>
                <c:pt idx="4">
                  <c:v>7</c:v>
                </c:pt>
                <c:pt idx="5">
                  <c:v>14</c:v>
                </c:pt>
              </c:numCache>
            </c:numRef>
          </c:xVal>
          <c:yVal>
            <c:numRef>
              <c:f>'[1]8-24-22'!$U$10:$U$15</c:f>
              <c:numCache>
                <c:formatCode>General</c:formatCode>
                <c:ptCount val="6"/>
                <c:pt idx="0">
                  <c:v>3.3935934031081505</c:v>
                </c:pt>
                <c:pt idx="1">
                  <c:v>14.887971698113208</c:v>
                </c:pt>
                <c:pt idx="2">
                  <c:v>7.1391686031500132</c:v>
                </c:pt>
                <c:pt idx="3">
                  <c:v>7.1384358009201199</c:v>
                </c:pt>
                <c:pt idx="4">
                  <c:v>1.4073417970672177</c:v>
                </c:pt>
                <c:pt idx="5">
                  <c:v>4.989322461657931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F6-44E1-A859-93E0F44CC0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4160079"/>
        <c:axId val="1294163823"/>
      </c:scatterChart>
      <c:valAx>
        <c:axId val="1294160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after debridement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163823"/>
        <c:crosses val="autoZero"/>
        <c:crossBetween val="midCat"/>
      </c:valAx>
      <c:valAx>
        <c:axId val="12941638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Epithelial Ki67/DAPI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160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0854700854700856"/>
          <c:y val="8.5631743948673067E-2"/>
          <c:w val="0.34358974358974359"/>
          <c:h val="0.143551326917468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297829778950266"/>
          <c:y val="5.7060367454068242E-2"/>
          <c:w val="0.7498605768908041"/>
          <c:h val="0.700269393409157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'[1]8-24-22'!$S$34</c:f>
              <c:strCache>
                <c:ptCount val="1"/>
                <c:pt idx="0">
                  <c:v>Zeb1 wt (n=3)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'[1]8-24-22'!$T$35:$T$40</c:f>
                <c:numCache>
                  <c:formatCode>General</c:formatCode>
                  <c:ptCount val="6"/>
                  <c:pt idx="0">
                    <c:v>26.96688400119795</c:v>
                  </c:pt>
                  <c:pt idx="1">
                    <c:v>2.0384993520872472</c:v>
                  </c:pt>
                  <c:pt idx="2">
                    <c:v>6.5903095157224074</c:v>
                  </c:pt>
                  <c:pt idx="3">
                    <c:v>15.9254846718582</c:v>
                  </c:pt>
                  <c:pt idx="4">
                    <c:v>13.128423600836699</c:v>
                  </c:pt>
                  <c:pt idx="5">
                    <c:v>7.5254955803455124</c:v>
                  </c:pt>
                </c:numCache>
              </c:numRef>
            </c:plus>
            <c:minus>
              <c:numRef>
                <c:f>'[1]8-24-22'!$T$35:$T$40</c:f>
                <c:numCache>
                  <c:formatCode>General</c:formatCode>
                  <c:ptCount val="6"/>
                  <c:pt idx="0">
                    <c:v>26.96688400119795</c:v>
                  </c:pt>
                  <c:pt idx="1">
                    <c:v>2.0384993520872472</c:v>
                  </c:pt>
                  <c:pt idx="2">
                    <c:v>6.5903095157224074</c:v>
                  </c:pt>
                  <c:pt idx="3">
                    <c:v>15.9254846718582</c:v>
                  </c:pt>
                  <c:pt idx="4">
                    <c:v>13.128423600836699</c:v>
                  </c:pt>
                  <c:pt idx="5">
                    <c:v>7.5254955803455124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'[1]8-24-22'!$R$35:$R$40</c:f>
              <c:numCache>
                <c:formatCode>General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1</c:v>
                </c:pt>
                <c:pt idx="3">
                  <c:v>3</c:v>
                </c:pt>
                <c:pt idx="4">
                  <c:v>7</c:v>
                </c:pt>
                <c:pt idx="5">
                  <c:v>14</c:v>
                </c:pt>
              </c:numCache>
            </c:numRef>
          </c:xVal>
          <c:yVal>
            <c:numRef>
              <c:f>'[1]8-24-22'!$S$35:$S$40</c:f>
              <c:numCache>
                <c:formatCode>General</c:formatCode>
                <c:ptCount val="6"/>
                <c:pt idx="0">
                  <c:v>89.166666666666671</c:v>
                </c:pt>
                <c:pt idx="1">
                  <c:v>54.40729483282675</c:v>
                </c:pt>
                <c:pt idx="2">
                  <c:v>57.959226787789163</c:v>
                </c:pt>
                <c:pt idx="3">
                  <c:v>90.443920644274215</c:v>
                </c:pt>
                <c:pt idx="4">
                  <c:v>101.02854409185139</c:v>
                </c:pt>
                <c:pt idx="5">
                  <c:v>73.715914243150465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2A-4A8C-AA96-95F305E5C9BF}"/>
            </c:ext>
          </c:extLst>
        </c:ser>
        <c:ser>
          <c:idx val="1"/>
          <c:order val="1"/>
          <c:tx>
            <c:strRef>
              <c:f>'[1]8-24-22'!$U$34</c:f>
              <c:strCache>
                <c:ptCount val="1"/>
                <c:pt idx="0">
                  <c:v>Zeb1 het (n=3)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'[1]8-24-22'!$V$35:$V$40</c:f>
                <c:numCache>
                  <c:formatCode>General</c:formatCode>
                  <c:ptCount val="6"/>
                  <c:pt idx="0">
                    <c:v>13.352235526366201</c:v>
                  </c:pt>
                  <c:pt idx="1">
                    <c:v>4.1250336254707003</c:v>
                  </c:pt>
                  <c:pt idx="2">
                    <c:v>2.838298033652793</c:v>
                  </c:pt>
                  <c:pt idx="3">
                    <c:v>10.800155525117884</c:v>
                  </c:pt>
                  <c:pt idx="4">
                    <c:v>5.0282662063397279</c:v>
                  </c:pt>
                  <c:pt idx="5">
                    <c:v>9.7921833207898992</c:v>
                  </c:pt>
                </c:numCache>
              </c:numRef>
            </c:plus>
            <c:minus>
              <c:numRef>
                <c:f>'[1]8-24-22'!$V$35:$V$40</c:f>
                <c:numCache>
                  <c:formatCode>General</c:formatCode>
                  <c:ptCount val="6"/>
                  <c:pt idx="0">
                    <c:v>13.352235526366201</c:v>
                  </c:pt>
                  <c:pt idx="1">
                    <c:v>4.1250336254707003</c:v>
                  </c:pt>
                  <c:pt idx="2">
                    <c:v>2.838298033652793</c:v>
                  </c:pt>
                  <c:pt idx="3">
                    <c:v>10.800155525117884</c:v>
                  </c:pt>
                  <c:pt idx="4">
                    <c:v>5.0282662063397279</c:v>
                  </c:pt>
                  <c:pt idx="5">
                    <c:v>9.7921833207898992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'[1]8-24-22'!$R$35:$R$40</c:f>
              <c:numCache>
                <c:formatCode>General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1</c:v>
                </c:pt>
                <c:pt idx="3">
                  <c:v>3</c:v>
                </c:pt>
                <c:pt idx="4">
                  <c:v>7</c:v>
                </c:pt>
                <c:pt idx="5">
                  <c:v>14</c:v>
                </c:pt>
              </c:numCache>
            </c:numRef>
          </c:xVal>
          <c:yVal>
            <c:numRef>
              <c:f>'[1]8-24-22'!$U$35:$U$40</c:f>
              <c:numCache>
                <c:formatCode>General</c:formatCode>
                <c:ptCount val="6"/>
                <c:pt idx="0">
                  <c:v>66.864227808433824</c:v>
                </c:pt>
                <c:pt idx="1">
                  <c:v>59.852153963803211</c:v>
                </c:pt>
                <c:pt idx="2">
                  <c:v>55.934227448098476</c:v>
                </c:pt>
                <c:pt idx="3">
                  <c:v>76.75269254216623</c:v>
                </c:pt>
                <c:pt idx="4">
                  <c:v>51.221794738483936</c:v>
                </c:pt>
                <c:pt idx="5">
                  <c:v>50.191675794085434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2A-4A8C-AA96-95F305E5C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895039"/>
        <c:axId val="1376894623"/>
      </c:scatterChart>
      <c:valAx>
        <c:axId val="1376895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after debridement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894623"/>
        <c:crosses val="autoZero"/>
        <c:crossBetween val="midCat"/>
      </c:valAx>
      <c:valAx>
        <c:axId val="13768946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Epithelial Zeb1/DAPI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895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7800511508951402"/>
          <c:y val="7.1742855059784186E-2"/>
          <c:w val="0.34356351236146632"/>
          <c:h val="0.143551326917468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623434265838721"/>
          <c:y val="5.0925925925925923E-2"/>
          <c:w val="0.79011615417991454"/>
          <c:h val="0.74350320793234181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'[1]9-6-22'!$P$3</c:f>
              <c:strCache>
                <c:ptCount val="1"/>
                <c:pt idx="0">
                  <c:v>Zeb1 wt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'[1]9-6-22'!$Q$4:$Q$9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4.2012268453170465E-2</c:v>
                  </c:pt>
                  <c:pt idx="2">
                    <c:v>8.7883894223573289E-2</c:v>
                  </c:pt>
                  <c:pt idx="3">
                    <c:v>9.9800005705153141E-2</c:v>
                  </c:pt>
                  <c:pt idx="4">
                    <c:v>0.12883942431821657</c:v>
                  </c:pt>
                  <c:pt idx="5">
                    <c:v>0.1175357626574344</c:v>
                  </c:pt>
                </c:numCache>
              </c:numRef>
            </c:plus>
            <c:minus>
              <c:numRef>
                <c:f>'[1]9-6-22'!$Q$4:$Q$9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4.2012268453170465E-2</c:v>
                  </c:pt>
                  <c:pt idx="2">
                    <c:v>8.7883894223573289E-2</c:v>
                  </c:pt>
                  <c:pt idx="3">
                    <c:v>9.9800005705153141E-2</c:v>
                  </c:pt>
                  <c:pt idx="4">
                    <c:v>0.12883942431821657</c:v>
                  </c:pt>
                  <c:pt idx="5">
                    <c:v>0.1175357626574344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'[1]9-6-22'!$O$4:$O$9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</c:numCache>
            </c:numRef>
          </c:xVal>
          <c:yVal>
            <c:numRef>
              <c:f>'[1]9-6-22'!$P$4:$P$9</c:f>
              <c:numCache>
                <c:formatCode>General</c:formatCode>
                <c:ptCount val="6"/>
                <c:pt idx="0">
                  <c:v>0</c:v>
                </c:pt>
                <c:pt idx="1">
                  <c:v>5.18047500690417E-2</c:v>
                </c:pt>
                <c:pt idx="2">
                  <c:v>0.20293182243365313</c:v>
                </c:pt>
                <c:pt idx="3">
                  <c:v>0.52298554133148034</c:v>
                </c:pt>
                <c:pt idx="4">
                  <c:v>0.98583264291632156</c:v>
                </c:pt>
                <c:pt idx="5">
                  <c:v>1.0552954539380495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97-4772-A36A-49C7BC2B5CA0}"/>
            </c:ext>
          </c:extLst>
        </c:ser>
        <c:ser>
          <c:idx val="1"/>
          <c:order val="1"/>
          <c:tx>
            <c:strRef>
              <c:f>'[1]9-6-22'!$R$3</c:f>
              <c:strCache>
                <c:ptCount val="1"/>
                <c:pt idx="0">
                  <c:v>Zeb1 het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'[1]9-6-22'!$S$4:$S$9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6.9110609963404138E-2</c:v>
                  </c:pt>
                  <c:pt idx="2">
                    <c:v>9.9694307531236051E-2</c:v>
                  </c:pt>
                  <c:pt idx="3">
                    <c:v>0.13876018849637287</c:v>
                  </c:pt>
                  <c:pt idx="4">
                    <c:v>0.1792605670660149</c:v>
                  </c:pt>
                  <c:pt idx="5">
                    <c:v>0.1392532569845979</c:v>
                  </c:pt>
                </c:numCache>
              </c:numRef>
            </c:plus>
            <c:minus>
              <c:numRef>
                <c:f>'[1]9-6-22'!$S$4:$S$9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6.9110609963404138E-2</c:v>
                  </c:pt>
                  <c:pt idx="2">
                    <c:v>9.9694307531236051E-2</c:v>
                  </c:pt>
                  <c:pt idx="3">
                    <c:v>0.13876018849637287</c:v>
                  </c:pt>
                  <c:pt idx="4">
                    <c:v>0.1792605670660149</c:v>
                  </c:pt>
                  <c:pt idx="5">
                    <c:v>0.1392532569845979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'[1]9-6-22'!$O$4:$O$9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21</c:v>
                </c:pt>
                <c:pt idx="5">
                  <c:v>28</c:v>
                </c:pt>
              </c:numCache>
            </c:numRef>
          </c:xVal>
          <c:yVal>
            <c:numRef>
              <c:f>'[1]9-6-22'!$R$4:$R$9</c:f>
              <c:numCache>
                <c:formatCode>General</c:formatCode>
                <c:ptCount val="6"/>
                <c:pt idx="0">
                  <c:v>0</c:v>
                </c:pt>
                <c:pt idx="1">
                  <c:v>5.4546199750803326E-2</c:v>
                </c:pt>
                <c:pt idx="2">
                  <c:v>0.202950357400485</c:v>
                </c:pt>
                <c:pt idx="3">
                  <c:v>0.42150796773558918</c:v>
                </c:pt>
                <c:pt idx="4">
                  <c:v>0.60819534614291648</c:v>
                </c:pt>
                <c:pt idx="5">
                  <c:v>0.62852072267033898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97-4772-A36A-49C7BC2B5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7249536"/>
        <c:axId val="1787249952"/>
      </c:scatterChart>
      <c:valAx>
        <c:axId val="1787249536"/>
        <c:scaling>
          <c:orientation val="minMax"/>
          <c:max val="3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after seeding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249952"/>
        <c:crosses val="autoZero"/>
        <c:crossBetween val="midCat"/>
      </c:valAx>
      <c:valAx>
        <c:axId val="1787249952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 proliferation (fold)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249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515033181827882"/>
          <c:y val="5.6133712452610091E-2"/>
          <c:w val="0.29718199859163946"/>
          <c:h val="0.128473315835520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56496062992126"/>
          <c:y val="5.7060367454068242E-2"/>
          <c:w val="0.82401793525809275"/>
          <c:h val="0.70026939340915717"/>
        </c:manualLayout>
      </c:layout>
      <c:scatterChart>
        <c:scatterStyle val="lineMarker"/>
        <c:varyColors val="0"/>
        <c:ser>
          <c:idx val="0"/>
          <c:order val="0"/>
          <c:tx>
            <c:strRef>
              <c:f>[3]Sheet1!$O$3</c:f>
              <c:strCache>
                <c:ptCount val="1"/>
                <c:pt idx="0">
                  <c:v>Vect Ctrl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[3]Sheet1!$P$4:$T$4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0.12521839750346303</c:v>
                  </c:pt>
                  <c:pt idx="2">
                    <c:v>0.15389012939386079</c:v>
                  </c:pt>
                  <c:pt idx="3">
                    <c:v>0.57486210898870005</c:v>
                  </c:pt>
                  <c:pt idx="4">
                    <c:v>0.90022560778889005</c:v>
                  </c:pt>
                </c:numCache>
              </c:numRef>
            </c:plus>
            <c:minus>
              <c:numRef>
                <c:f>[3]Sheet1!$P$4:$T$4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0.12521839750346303</c:v>
                  </c:pt>
                  <c:pt idx="2">
                    <c:v>0.15389012939386079</c:v>
                  </c:pt>
                  <c:pt idx="3">
                    <c:v>0.57486210898870005</c:v>
                  </c:pt>
                  <c:pt idx="4">
                    <c:v>0.90022560778889005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[3]Sheet1!$P$2:$T$2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[3]Sheet1!$P$3:$T$3</c:f>
              <c:numCache>
                <c:formatCode>General</c:formatCode>
                <c:ptCount val="5"/>
                <c:pt idx="0">
                  <c:v>0</c:v>
                </c:pt>
                <c:pt idx="1">
                  <c:v>0.35147060993827467</c:v>
                </c:pt>
                <c:pt idx="2">
                  <c:v>0.87876372214969434</c:v>
                </c:pt>
                <c:pt idx="3">
                  <c:v>3.5583453279293447</c:v>
                </c:pt>
                <c:pt idx="4">
                  <c:v>7.3257989192898281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97-440A-BAFD-C1FF0850EAA1}"/>
            </c:ext>
          </c:extLst>
        </c:ser>
        <c:ser>
          <c:idx val="1"/>
          <c:order val="1"/>
          <c:tx>
            <c:strRef>
              <c:f>[3]Sheet1!$O$5</c:f>
              <c:strCache>
                <c:ptCount val="1"/>
                <c:pt idx="0">
                  <c:v>ZEB1sh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[3]Sheet1!$P$6:$T$6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9.590365823962349E-2</c:v>
                  </c:pt>
                  <c:pt idx="2">
                    <c:v>0.33805862105888851</c:v>
                  </c:pt>
                  <c:pt idx="3">
                    <c:v>0.40625999088846343</c:v>
                  </c:pt>
                  <c:pt idx="4">
                    <c:v>0.85364354288500721</c:v>
                  </c:pt>
                </c:numCache>
              </c:numRef>
            </c:plus>
            <c:minus>
              <c:numRef>
                <c:f>[3]Sheet1!$P$6:$T$6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9.590365823962349E-2</c:v>
                  </c:pt>
                  <c:pt idx="2">
                    <c:v>0.33805862105888851</c:v>
                  </c:pt>
                  <c:pt idx="3">
                    <c:v>0.40625999088846343</c:v>
                  </c:pt>
                  <c:pt idx="4">
                    <c:v>0.85364354288500721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[3]Sheet1!$P$2:$T$2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[3]Sheet1!$P$5:$T$5</c:f>
              <c:numCache>
                <c:formatCode>General</c:formatCode>
                <c:ptCount val="5"/>
                <c:pt idx="0">
                  <c:v>0</c:v>
                </c:pt>
                <c:pt idx="1">
                  <c:v>0.18807646872418737</c:v>
                </c:pt>
                <c:pt idx="2">
                  <c:v>0.73434819774547744</c:v>
                </c:pt>
                <c:pt idx="3">
                  <c:v>2.2457472873386077</c:v>
                </c:pt>
                <c:pt idx="4">
                  <c:v>4.5722635299121928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97-440A-BAFD-C1FF0850E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965200"/>
        <c:axId val="678965616"/>
      </c:scatterChart>
      <c:valAx>
        <c:axId val="678965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after seeding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965616"/>
        <c:crosses val="autoZero"/>
        <c:crossBetween val="midCat"/>
      </c:valAx>
      <c:valAx>
        <c:axId val="6789656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 proliferation rate (fold)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965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01384514435696"/>
          <c:y val="6.7113225430154549E-2"/>
          <c:w val="0.28717387113342557"/>
          <c:h val="0.157383880883919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016767469283731"/>
          <c:y val="5.7060367454068242E-2"/>
          <c:w val="0.77630887443417396"/>
          <c:h val="0.754204578594342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 4'!$K$89</c:f>
              <c:strCache>
                <c:ptCount val="1"/>
                <c:pt idx="0">
                  <c:v>Zeb1 wt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'Figure 4'!$L$90:$L$94</c:f>
                <c:numCache>
                  <c:formatCode>General</c:formatCode>
                  <c:ptCount val="5"/>
                  <c:pt idx="0">
                    <c:v>5.8832444921716832E-2</c:v>
                  </c:pt>
                  <c:pt idx="1">
                    <c:v>0</c:v>
                  </c:pt>
                  <c:pt idx="2">
                    <c:v>0</c:v>
                  </c:pt>
                  <c:pt idx="3">
                    <c:v>0.20162984377572321</c:v>
                  </c:pt>
                  <c:pt idx="4">
                    <c:v>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'Figure 4'!$J$90:$J$94</c:f>
              <c:strCache>
                <c:ptCount val="5"/>
                <c:pt idx="0">
                  <c:v>Cdh1</c:v>
                </c:pt>
                <c:pt idx="1">
                  <c:v>p15</c:v>
                </c:pt>
                <c:pt idx="2">
                  <c:v>p16</c:v>
                </c:pt>
                <c:pt idx="3">
                  <c:v>p21</c:v>
                </c:pt>
                <c:pt idx="4">
                  <c:v>p27</c:v>
                </c:pt>
              </c:strCache>
            </c:strRef>
          </c:cat>
          <c:val>
            <c:numRef>
              <c:f>'Figure 4'!$K$90:$K$94</c:f>
              <c:numCache>
                <c:formatCode>General</c:formatCode>
                <c:ptCount val="5"/>
                <c:pt idx="0">
                  <c:v>1.000864940083193</c:v>
                </c:pt>
                <c:pt idx="1">
                  <c:v>0</c:v>
                </c:pt>
                <c:pt idx="2">
                  <c:v>0</c:v>
                </c:pt>
                <c:pt idx="3">
                  <c:v>1.0101125169754648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3-4AF2-AD63-FDA52CBB5681}"/>
            </c:ext>
          </c:extLst>
        </c:ser>
        <c:ser>
          <c:idx val="1"/>
          <c:order val="1"/>
          <c:tx>
            <c:strRef>
              <c:f>'Figure 4'!$M$89</c:f>
              <c:strCache>
                <c:ptCount val="1"/>
                <c:pt idx="0">
                  <c:v>Zeb1 het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'Figure 4'!$N$90:$N$94</c:f>
                <c:numCache>
                  <c:formatCode>General</c:formatCode>
                  <c:ptCount val="5"/>
                  <c:pt idx="0">
                    <c:v>0.15956113560199409</c:v>
                  </c:pt>
                  <c:pt idx="1">
                    <c:v>0</c:v>
                  </c:pt>
                  <c:pt idx="2">
                    <c:v>0</c:v>
                  </c:pt>
                  <c:pt idx="3">
                    <c:v>1.5636944946092521</c:v>
                  </c:pt>
                  <c:pt idx="4">
                    <c:v>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'Figure 4'!$J$90:$J$94</c:f>
              <c:strCache>
                <c:ptCount val="5"/>
                <c:pt idx="0">
                  <c:v>Cdh1</c:v>
                </c:pt>
                <c:pt idx="1">
                  <c:v>p15</c:v>
                </c:pt>
                <c:pt idx="2">
                  <c:v>p16</c:v>
                </c:pt>
                <c:pt idx="3">
                  <c:v>p21</c:v>
                </c:pt>
                <c:pt idx="4">
                  <c:v>p27</c:v>
                </c:pt>
              </c:strCache>
            </c:strRef>
          </c:cat>
          <c:val>
            <c:numRef>
              <c:f>'Figure 4'!$M$90:$M$94</c:f>
              <c:numCache>
                <c:formatCode>General</c:formatCode>
                <c:ptCount val="5"/>
                <c:pt idx="0">
                  <c:v>1.6303521028250545</c:v>
                </c:pt>
                <c:pt idx="1">
                  <c:v>0</c:v>
                </c:pt>
                <c:pt idx="2">
                  <c:v>0</c:v>
                </c:pt>
                <c:pt idx="3">
                  <c:v>17.747280138422042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C3-4AF2-AD63-FDA52CBB5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891888"/>
        <c:axId val="780913104"/>
      </c:barChart>
      <c:catAx>
        <c:axId val="78089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913104"/>
        <c:crosses val="autoZero"/>
        <c:auto val="1"/>
        <c:lblAlgn val="ctr"/>
        <c:lblOffset val="100"/>
        <c:noMultiLvlLbl val="0"/>
      </c:catAx>
      <c:valAx>
        <c:axId val="780913104"/>
        <c:scaling>
          <c:orientation val="minMax"/>
          <c:max val="2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abundance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891888"/>
        <c:crosses val="autoZero"/>
        <c:crossBetween val="between"/>
        <c:majorUnit val="4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1450310015595872"/>
          <c:y val="7.17428550597842E-2"/>
          <c:w val="0.24027114002054092"/>
          <c:h val="0.157440215806357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48381452318461"/>
          <c:y val="5.0925925925925923E-2"/>
          <c:w val="0.84299737532808405"/>
          <c:h val="0.800008019830854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 4'!$K$129</c:f>
              <c:strCache>
                <c:ptCount val="1"/>
                <c:pt idx="0">
                  <c:v>Vect Ctrl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'Figure 4'!$L$130:$L$135</c:f>
                <c:numCache>
                  <c:formatCode>General</c:formatCode>
                  <c:ptCount val="6"/>
                  <c:pt idx="0">
                    <c:v>0.16474947533016004</c:v>
                  </c:pt>
                  <c:pt idx="1">
                    <c:v>0.27336573058433833</c:v>
                  </c:pt>
                  <c:pt idx="2">
                    <c:v>0.30618881152771615</c:v>
                  </c:pt>
                  <c:pt idx="3">
                    <c:v>0.17765578394334697</c:v>
                  </c:pt>
                  <c:pt idx="4">
                    <c:v>0.12473421462389116</c:v>
                  </c:pt>
                  <c:pt idx="5">
                    <c:v>0.1515079425752284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'Figure 4'!$J$130:$J$135</c:f>
              <c:strCache>
                <c:ptCount val="6"/>
                <c:pt idx="0">
                  <c:v>ZEB1</c:v>
                </c:pt>
                <c:pt idx="1">
                  <c:v>CDH1</c:v>
                </c:pt>
                <c:pt idx="2">
                  <c:v>P15</c:v>
                </c:pt>
                <c:pt idx="3">
                  <c:v>P19</c:v>
                </c:pt>
                <c:pt idx="4">
                  <c:v>P21</c:v>
                </c:pt>
                <c:pt idx="5">
                  <c:v>P27</c:v>
                </c:pt>
              </c:strCache>
            </c:strRef>
          </c:cat>
          <c:val>
            <c:numRef>
              <c:f>'Figure 4'!$K$130:$K$135</c:f>
              <c:numCache>
                <c:formatCode>General</c:formatCode>
                <c:ptCount val="6"/>
                <c:pt idx="0">
                  <c:v>1.0085122556945709</c:v>
                </c:pt>
                <c:pt idx="1">
                  <c:v>1.022347851506664</c:v>
                </c:pt>
                <c:pt idx="2">
                  <c:v>1.0325146439496651</c:v>
                </c:pt>
                <c:pt idx="3">
                  <c:v>1.0099622578219793</c:v>
                </c:pt>
                <c:pt idx="4">
                  <c:v>1.0054315559247466</c:v>
                </c:pt>
                <c:pt idx="5">
                  <c:v>1.0080495066789605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44-46F5-811D-49F762871F10}"/>
            </c:ext>
          </c:extLst>
        </c:ser>
        <c:ser>
          <c:idx val="1"/>
          <c:order val="1"/>
          <c:tx>
            <c:strRef>
              <c:f>'Figure 4'!$M$129</c:f>
              <c:strCache>
                <c:ptCount val="1"/>
                <c:pt idx="0">
                  <c:v>ZEB1sh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'Figure 4'!$N$130:$N$135</c:f>
                <c:numCache>
                  <c:formatCode>General</c:formatCode>
                  <c:ptCount val="6"/>
                  <c:pt idx="0">
                    <c:v>5.203730276060179E-2</c:v>
                  </c:pt>
                  <c:pt idx="1">
                    <c:v>0.39549762898384294</c:v>
                  </c:pt>
                  <c:pt idx="2">
                    <c:v>8.3816922564020166E-2</c:v>
                  </c:pt>
                  <c:pt idx="3">
                    <c:v>0.75221007984975197</c:v>
                  </c:pt>
                  <c:pt idx="4">
                    <c:v>0.34230418806093121</c:v>
                  </c:pt>
                  <c:pt idx="5">
                    <c:v>0.18935956792747391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'Figure 4'!$J$130:$J$135</c:f>
              <c:strCache>
                <c:ptCount val="6"/>
                <c:pt idx="0">
                  <c:v>ZEB1</c:v>
                </c:pt>
                <c:pt idx="1">
                  <c:v>CDH1</c:v>
                </c:pt>
                <c:pt idx="2">
                  <c:v>P15</c:v>
                </c:pt>
                <c:pt idx="3">
                  <c:v>P19</c:v>
                </c:pt>
                <c:pt idx="4">
                  <c:v>P21</c:v>
                </c:pt>
                <c:pt idx="5">
                  <c:v>P27</c:v>
                </c:pt>
              </c:strCache>
            </c:strRef>
          </c:cat>
          <c:val>
            <c:numRef>
              <c:f>'Figure 4'!$M$130:$M$135</c:f>
              <c:numCache>
                <c:formatCode>General</c:formatCode>
                <c:ptCount val="6"/>
                <c:pt idx="0">
                  <c:v>0.53687350593662242</c:v>
                </c:pt>
                <c:pt idx="1">
                  <c:v>1.017252803593331</c:v>
                </c:pt>
                <c:pt idx="2">
                  <c:v>0.93111495218461426</c:v>
                </c:pt>
                <c:pt idx="3">
                  <c:v>6.2125963596034453</c:v>
                </c:pt>
                <c:pt idx="4">
                  <c:v>1.3402277894561421</c:v>
                </c:pt>
                <c:pt idx="5">
                  <c:v>1.7100492881419054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44-46F5-811D-49F762871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7961120"/>
        <c:axId val="661115664"/>
      </c:barChart>
      <c:catAx>
        <c:axId val="60796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1115664"/>
        <c:crosses val="autoZero"/>
        <c:auto val="1"/>
        <c:lblAlgn val="ctr"/>
        <c:lblOffset val="100"/>
        <c:noMultiLvlLbl val="0"/>
      </c:catAx>
      <c:valAx>
        <c:axId val="6611156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abundance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96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014785651793517"/>
          <c:y val="6.5392971711869377E-2"/>
          <c:w val="0.184318304221575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95587031212934"/>
          <c:y val="5.0925925925925923E-2"/>
          <c:w val="0.80999456700565486"/>
          <c:h val="0.74350320793234181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'[1]9-27-22 Cdh1'!$C$83</c:f>
              <c:strCache>
                <c:ptCount val="1"/>
                <c:pt idx="0">
                  <c:v>Zeb1 wt (n=3)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'[1]9-27-22 Cdh1'!$D$84:$D$89</c:f>
                <c:numCache>
                  <c:formatCode>General</c:formatCode>
                  <c:ptCount val="6"/>
                  <c:pt idx="0">
                    <c:v>17.182711557032398</c:v>
                  </c:pt>
                  <c:pt idx="1">
                    <c:v>2.3946107179346607</c:v>
                  </c:pt>
                  <c:pt idx="2">
                    <c:v>17.249585280384402</c:v>
                  </c:pt>
                  <c:pt idx="3">
                    <c:v>16.922754458833264</c:v>
                  </c:pt>
                  <c:pt idx="4">
                    <c:v>3.8653282552103758</c:v>
                  </c:pt>
                  <c:pt idx="5">
                    <c:v>0.64400575802612459</c:v>
                  </c:pt>
                </c:numCache>
              </c:numRef>
            </c:plus>
            <c:minus>
              <c:numRef>
                <c:f>'[1]9-27-22 Cdh1'!$D$84:$D$89</c:f>
                <c:numCache>
                  <c:formatCode>General</c:formatCode>
                  <c:ptCount val="6"/>
                  <c:pt idx="0">
                    <c:v>17.182711557032398</c:v>
                  </c:pt>
                  <c:pt idx="1">
                    <c:v>2.3946107179346607</c:v>
                  </c:pt>
                  <c:pt idx="2">
                    <c:v>17.249585280384402</c:v>
                  </c:pt>
                  <c:pt idx="3">
                    <c:v>16.922754458833264</c:v>
                  </c:pt>
                  <c:pt idx="4">
                    <c:v>3.8653282552103758</c:v>
                  </c:pt>
                  <c:pt idx="5">
                    <c:v>0.64400575802612459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'[1]9-27-22 Cdh1'!$B$84:$B$89</c:f>
              <c:numCache>
                <c:formatCode>General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1</c:v>
                </c:pt>
                <c:pt idx="3">
                  <c:v>3</c:v>
                </c:pt>
                <c:pt idx="4">
                  <c:v>7</c:v>
                </c:pt>
                <c:pt idx="5">
                  <c:v>14</c:v>
                </c:pt>
              </c:numCache>
            </c:numRef>
          </c:xVal>
          <c:yVal>
            <c:numRef>
              <c:f>'[1]9-27-22 Cdh1'!$C$84:$C$89</c:f>
              <c:numCache>
                <c:formatCode>General</c:formatCode>
                <c:ptCount val="6"/>
                <c:pt idx="0">
                  <c:v>69.306620178741468</c:v>
                </c:pt>
                <c:pt idx="1">
                  <c:v>14.820132007428674</c:v>
                </c:pt>
                <c:pt idx="2">
                  <c:v>79.824551703597635</c:v>
                </c:pt>
                <c:pt idx="3">
                  <c:v>195.87271143041949</c:v>
                </c:pt>
                <c:pt idx="4">
                  <c:v>31.970002673614303</c:v>
                </c:pt>
                <c:pt idx="5">
                  <c:v>31.014578247138306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46-40B1-B241-505A13BDBC57}"/>
            </c:ext>
          </c:extLst>
        </c:ser>
        <c:ser>
          <c:idx val="1"/>
          <c:order val="1"/>
          <c:tx>
            <c:strRef>
              <c:f>'[1]9-27-22 Cdh1'!$E$83</c:f>
              <c:strCache>
                <c:ptCount val="1"/>
                <c:pt idx="0">
                  <c:v>Zeb1 het (n=3)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'[1]9-27-22 Cdh1'!$F$84:$F$89</c:f>
                <c:numCache>
                  <c:formatCode>General</c:formatCode>
                  <c:ptCount val="6"/>
                  <c:pt idx="0">
                    <c:v>5.2299993959266571</c:v>
                  </c:pt>
                  <c:pt idx="1">
                    <c:v>44.409312379559267</c:v>
                  </c:pt>
                  <c:pt idx="2">
                    <c:v>30.062365444779029</c:v>
                  </c:pt>
                  <c:pt idx="3">
                    <c:v>24.435783193038251</c:v>
                  </c:pt>
                  <c:pt idx="4">
                    <c:v>3.7682705787810962</c:v>
                  </c:pt>
                  <c:pt idx="5">
                    <c:v>11.267622755106673</c:v>
                  </c:pt>
                </c:numCache>
              </c:numRef>
            </c:plus>
            <c:minus>
              <c:numRef>
                <c:f>'[1]9-27-22 Cdh1'!$F$84:$F$89</c:f>
                <c:numCache>
                  <c:formatCode>General</c:formatCode>
                  <c:ptCount val="6"/>
                  <c:pt idx="0">
                    <c:v>5.2299993959266571</c:v>
                  </c:pt>
                  <c:pt idx="1">
                    <c:v>44.409312379559267</c:v>
                  </c:pt>
                  <c:pt idx="2">
                    <c:v>30.062365444779029</c:v>
                  </c:pt>
                  <c:pt idx="3">
                    <c:v>24.435783193038251</c:v>
                  </c:pt>
                  <c:pt idx="4">
                    <c:v>3.7682705787810962</c:v>
                  </c:pt>
                  <c:pt idx="5">
                    <c:v>11.267622755106673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'[1]9-27-22 Cdh1'!$B$84:$B$89</c:f>
              <c:numCache>
                <c:formatCode>General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1</c:v>
                </c:pt>
                <c:pt idx="3">
                  <c:v>3</c:v>
                </c:pt>
                <c:pt idx="4">
                  <c:v>7</c:v>
                </c:pt>
                <c:pt idx="5">
                  <c:v>14</c:v>
                </c:pt>
              </c:numCache>
            </c:numRef>
          </c:xVal>
          <c:yVal>
            <c:numRef>
              <c:f>'[1]9-27-22 Cdh1'!$E$84:$E$89</c:f>
              <c:numCache>
                <c:formatCode>General</c:formatCode>
                <c:ptCount val="6"/>
                <c:pt idx="0">
                  <c:v>41.429568653943598</c:v>
                </c:pt>
                <c:pt idx="1">
                  <c:v>260.39078898026099</c:v>
                </c:pt>
                <c:pt idx="2">
                  <c:v>231.37223718428962</c:v>
                </c:pt>
                <c:pt idx="3">
                  <c:v>115.16107714141724</c:v>
                </c:pt>
                <c:pt idx="4">
                  <c:v>48.54136980096964</c:v>
                </c:pt>
                <c:pt idx="5">
                  <c:v>37.39367741076596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46-40B1-B241-505A13BDB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213423"/>
        <c:axId val="650214255"/>
      </c:scatterChart>
      <c:valAx>
        <c:axId val="650213423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after debridement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214255"/>
        <c:crosses val="autoZero"/>
        <c:crossBetween val="midCat"/>
        <c:majorUnit val="3"/>
      </c:valAx>
      <c:valAx>
        <c:axId val="6502142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Epithelial Cdh1/DAPI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2134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419584796798359"/>
          <c:y val="7.4652230971128636E-2"/>
          <c:w val="0.33304163510173473"/>
          <c:h val="0.105325167687372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95587031212934"/>
          <c:y val="5.0925925925925923E-2"/>
          <c:w val="0.80999456700565486"/>
          <c:h val="0.74350320793234181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'[1]9-27-22 Cdh1'!$C$101</c:f>
              <c:strCache>
                <c:ptCount val="1"/>
                <c:pt idx="0">
                  <c:v>Zeb1 wt (n=3)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'[1]9-27-22 Cdh1'!$D$102:$D$107</c:f>
                <c:numCache>
                  <c:formatCode>General</c:formatCode>
                  <c:ptCount val="6"/>
                  <c:pt idx="0">
                    <c:v>49.162526907313129</c:v>
                  </c:pt>
                  <c:pt idx="1">
                    <c:v>9.6780251048375927</c:v>
                  </c:pt>
                  <c:pt idx="2">
                    <c:v>65.595171502312496</c:v>
                  </c:pt>
                  <c:pt idx="3">
                    <c:v>148.02926568509216</c:v>
                  </c:pt>
                  <c:pt idx="4">
                    <c:v>24.950645765840608</c:v>
                  </c:pt>
                  <c:pt idx="5">
                    <c:v>24.388179479247203</c:v>
                  </c:pt>
                </c:numCache>
              </c:numRef>
            </c:plus>
            <c:minus>
              <c:numRef>
                <c:f>'[1]9-27-22 Cdh1'!$D$102:$D$107</c:f>
                <c:numCache>
                  <c:formatCode>General</c:formatCode>
                  <c:ptCount val="6"/>
                  <c:pt idx="0">
                    <c:v>49.162526907313129</c:v>
                  </c:pt>
                  <c:pt idx="1">
                    <c:v>9.6780251048375927</c:v>
                  </c:pt>
                  <c:pt idx="2">
                    <c:v>65.595171502312496</c:v>
                  </c:pt>
                  <c:pt idx="3">
                    <c:v>148.02926568509216</c:v>
                  </c:pt>
                  <c:pt idx="4">
                    <c:v>24.950645765840608</c:v>
                  </c:pt>
                  <c:pt idx="5">
                    <c:v>24.388179479247203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'[1]9-27-22 Cdh1'!$B$102:$B$107</c:f>
              <c:numCache>
                <c:formatCode>General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1</c:v>
                </c:pt>
                <c:pt idx="3">
                  <c:v>3</c:v>
                </c:pt>
                <c:pt idx="4">
                  <c:v>7</c:v>
                </c:pt>
                <c:pt idx="5">
                  <c:v>14</c:v>
                </c:pt>
              </c:numCache>
            </c:numRef>
          </c:xVal>
          <c:yVal>
            <c:numRef>
              <c:f>'[1]9-27-22 Cdh1'!$C$102:$C$107</c:f>
              <c:numCache>
                <c:formatCode>General</c:formatCode>
                <c:ptCount val="6"/>
                <c:pt idx="0">
                  <c:v>84.846599741549753</c:v>
                </c:pt>
                <c:pt idx="1">
                  <c:v>2.5560625762647824</c:v>
                </c:pt>
                <c:pt idx="2">
                  <c:v>207.53595962339719</c:v>
                </c:pt>
                <c:pt idx="3">
                  <c:v>314.70763295521652</c:v>
                </c:pt>
                <c:pt idx="4">
                  <c:v>11.422091252190961</c:v>
                </c:pt>
                <c:pt idx="5">
                  <c:v>20.554188248705358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F2-4B57-B06C-63B8DFD8F2E0}"/>
            </c:ext>
          </c:extLst>
        </c:ser>
        <c:ser>
          <c:idx val="1"/>
          <c:order val="1"/>
          <c:tx>
            <c:strRef>
              <c:f>'[1]9-27-22 Cdh1'!$E$101</c:f>
              <c:strCache>
                <c:ptCount val="1"/>
                <c:pt idx="0">
                  <c:v>Zeb1 het (n=3)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1"/>
            <c:plus>
              <c:numRef>
                <c:f>'[1]9-27-22 Cdh1'!$F$102:$F$107</c:f>
                <c:numCache>
                  <c:formatCode>General</c:formatCode>
                  <c:ptCount val="6"/>
                  <c:pt idx="0">
                    <c:v>30.034802244166901</c:v>
                  </c:pt>
                  <c:pt idx="1">
                    <c:v>179.25273505097289</c:v>
                  </c:pt>
                  <c:pt idx="2">
                    <c:v>216.80572728456127</c:v>
                  </c:pt>
                  <c:pt idx="3">
                    <c:v>105.25538626556629</c:v>
                  </c:pt>
                  <c:pt idx="4">
                    <c:v>67.495262931526796</c:v>
                  </c:pt>
                  <c:pt idx="5">
                    <c:v>34.467373532425434</c:v>
                  </c:pt>
                </c:numCache>
              </c:numRef>
            </c:plus>
            <c:minus>
              <c:numRef>
                <c:f>'[1]9-27-22 Cdh1'!$F$102:$F$107</c:f>
                <c:numCache>
                  <c:formatCode>General</c:formatCode>
                  <c:ptCount val="6"/>
                  <c:pt idx="0">
                    <c:v>30.034802244166901</c:v>
                  </c:pt>
                  <c:pt idx="1">
                    <c:v>179.25273505097289</c:v>
                  </c:pt>
                  <c:pt idx="2">
                    <c:v>216.80572728456127</c:v>
                  </c:pt>
                  <c:pt idx="3">
                    <c:v>105.25538626556629</c:v>
                  </c:pt>
                  <c:pt idx="4">
                    <c:v>67.495262931526796</c:v>
                  </c:pt>
                  <c:pt idx="5">
                    <c:v>34.467373532425434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'[1]9-27-22 Cdh1'!$B$102:$B$107</c:f>
              <c:numCache>
                <c:formatCode>General</c:formatCode>
                <c:ptCount val="6"/>
                <c:pt idx="0">
                  <c:v>0</c:v>
                </c:pt>
                <c:pt idx="1">
                  <c:v>0.25</c:v>
                </c:pt>
                <c:pt idx="2">
                  <c:v>1</c:v>
                </c:pt>
                <c:pt idx="3">
                  <c:v>3</c:v>
                </c:pt>
                <c:pt idx="4">
                  <c:v>7</c:v>
                </c:pt>
                <c:pt idx="5">
                  <c:v>14</c:v>
                </c:pt>
              </c:numCache>
            </c:numRef>
          </c:xVal>
          <c:yVal>
            <c:numRef>
              <c:f>'[1]9-27-22 Cdh1'!$E$102:$E$107</c:f>
              <c:numCache>
                <c:formatCode>General</c:formatCode>
                <c:ptCount val="6"/>
                <c:pt idx="0">
                  <c:v>31.594276912806603</c:v>
                </c:pt>
                <c:pt idx="1">
                  <c:v>825.2690276077002</c:v>
                </c:pt>
                <c:pt idx="2">
                  <c:v>503.97414988708425</c:v>
                </c:pt>
                <c:pt idx="3">
                  <c:v>414.34686682147839</c:v>
                </c:pt>
                <c:pt idx="4">
                  <c:v>125.6781894814432</c:v>
                </c:pt>
                <c:pt idx="5">
                  <c:v>119.01628675315889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F2-4B57-B06C-63B8DFD8F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024799"/>
        <c:axId val="521018559"/>
      </c:scatterChart>
      <c:valAx>
        <c:axId val="521024799"/>
        <c:scaling>
          <c:orientation val="minMax"/>
          <c:max val="1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after debridement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018559"/>
        <c:crosses val="autoZero"/>
        <c:crossBetween val="midCat"/>
        <c:majorUnit val="3"/>
      </c:valAx>
      <c:valAx>
        <c:axId val="521018559"/>
        <c:scaling>
          <c:orientation val="minMax"/>
          <c:max val="1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Endothelial Cdh1/DAPI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024799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971350519960527"/>
          <c:y val="4.6874453193350825E-2"/>
          <c:w val="0.32028649480039484"/>
          <c:h val="0.114584426946631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15048118985127"/>
          <c:y val="5.0925925925925923E-2"/>
          <c:w val="0.81734886264216955"/>
          <c:h val="0.74350320793234181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'[1]4-7-22'!$C$21</c:f>
              <c:strCache>
                <c:ptCount val="1"/>
                <c:pt idx="0">
                  <c:v>Vect Ctrl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'[1]4-7-22'!$D$22:$D$26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17.310295449911681</c:v>
                  </c:pt>
                  <c:pt idx="2">
                    <c:v>9.4147506479817338</c:v>
                  </c:pt>
                  <c:pt idx="3">
                    <c:v>6.7666715700741795</c:v>
                  </c:pt>
                  <c:pt idx="4">
                    <c:v>5.8677000968123387</c:v>
                  </c:pt>
                </c:numCache>
              </c:numRef>
            </c:plus>
            <c:minus>
              <c:numRef>
                <c:f>'[1]4-7-22'!$D$22:$D$26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17.310295449911681</c:v>
                  </c:pt>
                  <c:pt idx="2">
                    <c:v>9.4147506479817338</c:v>
                  </c:pt>
                  <c:pt idx="3">
                    <c:v>6.7666715700741795</c:v>
                  </c:pt>
                  <c:pt idx="4">
                    <c:v>5.8677000968123387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'[1]4-7-22'!$B$22:$B$26</c:f>
              <c:numCache>
                <c:formatCode>General</c:formatCode>
                <c:ptCount val="5"/>
                <c:pt idx="0">
                  <c:v>0</c:v>
                </c:pt>
                <c:pt idx="1">
                  <c:v>7</c:v>
                </c:pt>
                <c:pt idx="2">
                  <c:v>24</c:v>
                </c:pt>
                <c:pt idx="3">
                  <c:v>30</c:v>
                </c:pt>
                <c:pt idx="4">
                  <c:v>48</c:v>
                </c:pt>
              </c:numCache>
            </c:numRef>
          </c:xVal>
          <c:yVal>
            <c:numRef>
              <c:f>'[1]4-7-22'!$C$22:$C$26</c:f>
              <c:numCache>
                <c:formatCode>General</c:formatCode>
                <c:ptCount val="5"/>
                <c:pt idx="0">
                  <c:v>0</c:v>
                </c:pt>
                <c:pt idx="1">
                  <c:v>37.495405047404411</c:v>
                </c:pt>
                <c:pt idx="2">
                  <c:v>77.449138092166734</c:v>
                </c:pt>
                <c:pt idx="3">
                  <c:v>86.673039998033587</c:v>
                </c:pt>
                <c:pt idx="4">
                  <c:v>94.509705424621458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4D-42D8-AABA-D91AF5CC378B}"/>
            </c:ext>
          </c:extLst>
        </c:ser>
        <c:ser>
          <c:idx val="1"/>
          <c:order val="1"/>
          <c:tx>
            <c:strRef>
              <c:f>'[1]4-7-22'!$E$21</c:f>
              <c:strCache>
                <c:ptCount val="1"/>
                <c:pt idx="0">
                  <c:v>ZEB1sh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'[1]4-7-22'!$F$22:$F$26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3.7825107268164633</c:v>
                  </c:pt>
                  <c:pt idx="2">
                    <c:v>11.634866368625842</c:v>
                  </c:pt>
                  <c:pt idx="3">
                    <c:v>9.1724741119030337</c:v>
                  </c:pt>
                  <c:pt idx="4">
                    <c:v>9.0153068185477689</c:v>
                  </c:pt>
                </c:numCache>
              </c:numRef>
            </c:plus>
            <c:minus>
              <c:numRef>
                <c:f>'[1]4-7-22'!$F$22:$F$26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3.7825107268164633</c:v>
                  </c:pt>
                  <c:pt idx="2">
                    <c:v>11.634866368625842</c:v>
                  </c:pt>
                  <c:pt idx="3">
                    <c:v>9.1724741119030337</c:v>
                  </c:pt>
                  <c:pt idx="4">
                    <c:v>9.0153068185477689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'[1]4-7-22'!$B$22:$B$26</c:f>
              <c:numCache>
                <c:formatCode>General</c:formatCode>
                <c:ptCount val="5"/>
                <c:pt idx="0">
                  <c:v>0</c:v>
                </c:pt>
                <c:pt idx="1">
                  <c:v>7</c:v>
                </c:pt>
                <c:pt idx="2">
                  <c:v>24</c:v>
                </c:pt>
                <c:pt idx="3">
                  <c:v>30</c:v>
                </c:pt>
                <c:pt idx="4">
                  <c:v>48</c:v>
                </c:pt>
              </c:numCache>
            </c:numRef>
          </c:xVal>
          <c:yVal>
            <c:numRef>
              <c:f>'[1]4-7-22'!$E$22:$E$26</c:f>
              <c:numCache>
                <c:formatCode>General</c:formatCode>
                <c:ptCount val="5"/>
                <c:pt idx="0">
                  <c:v>0</c:v>
                </c:pt>
                <c:pt idx="1">
                  <c:v>10.95642576084766</c:v>
                </c:pt>
                <c:pt idx="2">
                  <c:v>53.205955693431513</c:v>
                </c:pt>
                <c:pt idx="3">
                  <c:v>59.451494775655725</c:v>
                </c:pt>
                <c:pt idx="4">
                  <c:v>63.001129017859192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4D-42D8-AABA-D91AF5CC37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450927"/>
        <c:axId val="578448431"/>
      </c:scatterChart>
      <c:valAx>
        <c:axId val="578450927"/>
        <c:scaling>
          <c:orientation val="minMax"/>
          <c:max val="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 after scratch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448431"/>
        <c:crosses val="autoZero"/>
        <c:crossBetween val="midCat"/>
      </c:valAx>
      <c:valAx>
        <c:axId val="5784484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 recovery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8450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261045494313212"/>
          <c:y val="5.1504082822980482E-2"/>
          <c:w val="0.23012889477924173"/>
          <c:h val="0.133102945465150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534273840769903"/>
          <c:y val="5.7060367454068242E-2"/>
          <c:w val="0.78026815398075255"/>
          <c:h val="0.70026939340915717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'[1]12-29-21'!$Q$18</c:f>
              <c:strCache>
                <c:ptCount val="1"/>
                <c:pt idx="0">
                  <c:v>Zeb1 wt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'[1]12-29-21'!$R$19:$T$19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1.373910261995227</c:v>
                  </c:pt>
                  <c:pt idx="2">
                    <c:v>0.8411936848459981</c:v>
                  </c:pt>
                </c:numCache>
              </c:numRef>
            </c:plus>
            <c:minus>
              <c:numRef>
                <c:f>'[1]12-29-21'!$R$19:$T$19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1.373910261995227</c:v>
                  </c:pt>
                  <c:pt idx="2">
                    <c:v>0.8411936848459981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'[1]12-29-21'!$R$17:$T$17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'[1]12-29-21'!$R$18:$T$18</c:f>
              <c:numCache>
                <c:formatCode>General</c:formatCode>
                <c:ptCount val="3"/>
                <c:pt idx="0">
                  <c:v>0</c:v>
                </c:pt>
                <c:pt idx="1">
                  <c:v>91.844874173569849</c:v>
                </c:pt>
                <c:pt idx="2">
                  <c:v>95.369078628370445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28-4818-B534-32254855A520}"/>
            </c:ext>
          </c:extLst>
        </c:ser>
        <c:ser>
          <c:idx val="1"/>
          <c:order val="1"/>
          <c:tx>
            <c:strRef>
              <c:f>'[1]12-29-21'!$Q$20</c:f>
              <c:strCache>
                <c:ptCount val="1"/>
                <c:pt idx="0">
                  <c:v>Zeb1 het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'[1]12-29-21'!$R$21:$T$21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5.2452911283034336</c:v>
                  </c:pt>
                  <c:pt idx="2">
                    <c:v>3.7283629243330796</c:v>
                  </c:pt>
                </c:numCache>
              </c:numRef>
            </c:plus>
            <c:minus>
              <c:numRef>
                <c:f>'[1]12-29-21'!$R$21:$T$21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5.2452911283034336</c:v>
                  </c:pt>
                  <c:pt idx="2">
                    <c:v>3.7283629243330796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'[1]12-29-21'!$R$17:$T$17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'[1]12-29-21'!$R$20:$T$20</c:f>
              <c:numCache>
                <c:formatCode>General</c:formatCode>
                <c:ptCount val="3"/>
                <c:pt idx="0">
                  <c:v>0</c:v>
                </c:pt>
                <c:pt idx="1">
                  <c:v>48.816071513807252</c:v>
                </c:pt>
                <c:pt idx="2">
                  <c:v>70.233204362453833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28-4818-B534-32254855A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02560"/>
        <c:axId val="146802144"/>
      </c:scatterChart>
      <c:valAx>
        <c:axId val="146802560"/>
        <c:scaling>
          <c:orientation val="minMax"/>
          <c:max val="2.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 after scratch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02144"/>
        <c:crosses val="autoZero"/>
        <c:crossBetween val="midCat"/>
      </c:valAx>
      <c:valAx>
        <c:axId val="146802144"/>
        <c:scaling>
          <c:orientation val="minMax"/>
          <c:max val="1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Gap recovery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02560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087156481418947"/>
          <c:y val="0.56248359580052498"/>
          <c:w val="0.31135058204294375"/>
          <c:h val="0.152810586176727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282615917548312"/>
          <c:y val="5.0925925925925923E-2"/>
          <c:w val="0.77791947189768018"/>
          <c:h val="0.777430008748906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 6'!$K$70</c:f>
              <c:strCache>
                <c:ptCount val="1"/>
                <c:pt idx="0">
                  <c:v>Zeb1 wt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'Figure 6'!$L$71:$L$74</c:f>
                <c:numCache>
                  <c:formatCode>General</c:formatCode>
                  <c:ptCount val="4"/>
                  <c:pt idx="0">
                    <c:v>3.4666031918280056E-2</c:v>
                  </c:pt>
                  <c:pt idx="1">
                    <c:v>1.3863498656107653E-2</c:v>
                  </c:pt>
                  <c:pt idx="2">
                    <c:v>0.27838424507581405</c:v>
                  </c:pt>
                  <c:pt idx="3">
                    <c:v>0.28305584010705942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'Figure 6'!$J$71:$J$74</c:f>
              <c:strCache>
                <c:ptCount val="4"/>
                <c:pt idx="0">
                  <c:v>Vim</c:v>
                </c:pt>
                <c:pt idx="1">
                  <c:v>Fn1</c:v>
                </c:pt>
                <c:pt idx="2">
                  <c:v>Mmp2</c:v>
                </c:pt>
                <c:pt idx="3">
                  <c:v>Mmp7</c:v>
                </c:pt>
              </c:strCache>
            </c:strRef>
          </c:cat>
          <c:val>
            <c:numRef>
              <c:f>'Figure 6'!$K$71:$K$74</c:f>
              <c:numCache>
                <c:formatCode>General</c:formatCode>
                <c:ptCount val="4"/>
                <c:pt idx="0">
                  <c:v>1.0004004175887402</c:v>
                </c:pt>
                <c:pt idx="1">
                  <c:v>1.0000640614277936</c:v>
                </c:pt>
                <c:pt idx="2">
                  <c:v>1.074874795212035</c:v>
                </c:pt>
                <c:pt idx="3">
                  <c:v>0.95224077480200908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BA-4326-B64A-09451FFC63B5}"/>
            </c:ext>
          </c:extLst>
        </c:ser>
        <c:ser>
          <c:idx val="1"/>
          <c:order val="1"/>
          <c:tx>
            <c:strRef>
              <c:f>'Figure 6'!$M$70</c:f>
              <c:strCache>
                <c:ptCount val="1"/>
                <c:pt idx="0">
                  <c:v>Zeb1 het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'Figure 6'!$N$71:$N$74</c:f>
                <c:numCache>
                  <c:formatCode>General</c:formatCode>
                  <c:ptCount val="4"/>
                  <c:pt idx="0">
                    <c:v>2.2655886467565496E-3</c:v>
                  </c:pt>
                  <c:pt idx="1">
                    <c:v>2.1870243259486128E-2</c:v>
                  </c:pt>
                  <c:pt idx="2">
                    <c:v>2.2513921023478996E-2</c:v>
                  </c:pt>
                  <c:pt idx="3">
                    <c:v>8.3330653724405152E-2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'Figure 6'!$J$71:$J$74</c:f>
              <c:strCache>
                <c:ptCount val="4"/>
                <c:pt idx="0">
                  <c:v>Vim</c:v>
                </c:pt>
                <c:pt idx="1">
                  <c:v>Fn1</c:v>
                </c:pt>
                <c:pt idx="2">
                  <c:v>Mmp2</c:v>
                </c:pt>
                <c:pt idx="3">
                  <c:v>Mmp7</c:v>
                </c:pt>
              </c:strCache>
            </c:strRef>
          </c:cat>
          <c:val>
            <c:numRef>
              <c:f>'Figure 6'!$M$71:$M$74</c:f>
              <c:numCache>
                <c:formatCode>General</c:formatCode>
                <c:ptCount val="4"/>
                <c:pt idx="0">
                  <c:v>0.6537116825650906</c:v>
                </c:pt>
                <c:pt idx="1">
                  <c:v>0.21787526618661415</c:v>
                </c:pt>
                <c:pt idx="2">
                  <c:v>0.13040989053741212</c:v>
                </c:pt>
                <c:pt idx="3">
                  <c:v>0.45557346339362703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BA-4326-B64A-09451FFC6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1310064"/>
        <c:axId val="941311312"/>
      </c:barChart>
      <c:catAx>
        <c:axId val="941310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311312"/>
        <c:crosses val="autoZero"/>
        <c:auto val="1"/>
        <c:lblAlgn val="ctr"/>
        <c:lblOffset val="100"/>
        <c:noMultiLvlLbl val="0"/>
      </c:catAx>
      <c:valAx>
        <c:axId val="9413113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abundance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31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0457836473673918"/>
          <c:y val="5.1504082822980461E-2"/>
          <c:w val="0.20470662619453947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78937007874017"/>
          <c:y val="5.0925925925925923E-2"/>
          <c:w val="0.83113626421697273"/>
          <c:h val="0.761110746573344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'Figure 6'!$K$104</c:f>
              <c:strCache>
                <c:ptCount val="1"/>
                <c:pt idx="0">
                  <c:v>Vect Ctrl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'Figure 6'!$L$105:$L$111</c:f>
                <c:numCache>
                  <c:formatCode>General</c:formatCode>
                  <c:ptCount val="7"/>
                  <c:pt idx="0">
                    <c:v>6.5908476192659618E-2</c:v>
                  </c:pt>
                  <c:pt idx="1">
                    <c:v>0.16088388661503455</c:v>
                  </c:pt>
                  <c:pt idx="2">
                    <c:v>0.2169390256665297</c:v>
                  </c:pt>
                  <c:pt idx="3">
                    <c:v>6.9315411858557469E-3</c:v>
                  </c:pt>
                  <c:pt idx="4">
                    <c:v>0.77511606784336995</c:v>
                  </c:pt>
                  <c:pt idx="5">
                    <c:v>2.7730327673412866E-2</c:v>
                  </c:pt>
                  <c:pt idx="6">
                    <c:v>3.4666031918278689E-2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'Figure 6'!$J$105:$J$111</c:f>
              <c:strCache>
                <c:ptCount val="7"/>
                <c:pt idx="0">
                  <c:v>VIM</c:v>
                </c:pt>
                <c:pt idx="1">
                  <c:v>FN1</c:v>
                </c:pt>
                <c:pt idx="2">
                  <c:v>ITGA5</c:v>
                </c:pt>
                <c:pt idx="3">
                  <c:v>MMP1</c:v>
                </c:pt>
                <c:pt idx="4">
                  <c:v>MMP3</c:v>
                </c:pt>
                <c:pt idx="5">
                  <c:v>MMP11</c:v>
                </c:pt>
                <c:pt idx="6">
                  <c:v>PLAU</c:v>
                </c:pt>
              </c:strCache>
            </c:strRef>
          </c:cat>
          <c:val>
            <c:numRef>
              <c:f>'Figure 6'!$K$105:$K$111</c:f>
              <c:numCache>
                <c:formatCode>General</c:formatCode>
                <c:ptCount val="7"/>
                <c:pt idx="0">
                  <c:v>1.0014458851607813</c:v>
                </c:pt>
                <c:pt idx="1">
                  <c:v>0.9769208246985791</c:v>
                </c:pt>
                <c:pt idx="2">
                  <c:v>1.0734203005542058</c:v>
                </c:pt>
                <c:pt idx="3">
                  <c:v>1.0000160151645849</c:v>
                </c:pt>
                <c:pt idx="4">
                  <c:v>1.1278562636151801</c:v>
                </c:pt>
                <c:pt idx="5">
                  <c:v>1.0002562580227856</c:v>
                </c:pt>
                <c:pt idx="6">
                  <c:v>1.0004004175887411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37-4424-993D-8DD4F444E707}"/>
            </c:ext>
          </c:extLst>
        </c:ser>
        <c:ser>
          <c:idx val="1"/>
          <c:order val="1"/>
          <c:tx>
            <c:strRef>
              <c:f>'Figure 6'!$M$104</c:f>
              <c:strCache>
                <c:ptCount val="1"/>
                <c:pt idx="0">
                  <c:v>ZEB1sh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'Figure 6'!$N$105:$N$111</c:f>
                <c:numCache>
                  <c:formatCode>General</c:formatCode>
                  <c:ptCount val="7"/>
                  <c:pt idx="0">
                    <c:v>1.1269512645161449E-2</c:v>
                  </c:pt>
                  <c:pt idx="1">
                    <c:v>4.795283619524944E-2</c:v>
                  </c:pt>
                  <c:pt idx="2">
                    <c:v>9.7592692437028471E-3</c:v>
                  </c:pt>
                  <c:pt idx="3">
                    <c:v>0.12367728431052395</c:v>
                  </c:pt>
                  <c:pt idx="4">
                    <c:v>7.0744840909250754E-3</c:v>
                  </c:pt>
                  <c:pt idx="5">
                    <c:v>1.3591312541194405E-2</c:v>
                  </c:pt>
                  <c:pt idx="6">
                    <c:v>9.5025135175247546E-3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'Figure 6'!$J$105:$J$111</c:f>
              <c:strCache>
                <c:ptCount val="7"/>
                <c:pt idx="0">
                  <c:v>VIM</c:v>
                </c:pt>
                <c:pt idx="1">
                  <c:v>FN1</c:v>
                </c:pt>
                <c:pt idx="2">
                  <c:v>ITGA5</c:v>
                </c:pt>
                <c:pt idx="3">
                  <c:v>MMP1</c:v>
                </c:pt>
                <c:pt idx="4">
                  <c:v>MMP3</c:v>
                </c:pt>
                <c:pt idx="5">
                  <c:v>MMP11</c:v>
                </c:pt>
                <c:pt idx="6">
                  <c:v>PLAU</c:v>
                </c:pt>
              </c:strCache>
            </c:strRef>
          </c:cat>
          <c:val>
            <c:numRef>
              <c:f>'Figure 6'!$M$105:$M$111</c:f>
              <c:numCache>
                <c:formatCode>General</c:formatCode>
                <c:ptCount val="7"/>
                <c:pt idx="0">
                  <c:v>0.23233219988177711</c:v>
                </c:pt>
                <c:pt idx="1">
                  <c:v>0.25270910657747747</c:v>
                </c:pt>
                <c:pt idx="2">
                  <c:v>0.23471155289667148</c:v>
                </c:pt>
                <c:pt idx="3">
                  <c:v>0.40571111844305818</c:v>
                </c:pt>
                <c:pt idx="4">
                  <c:v>1.2201041557723722E-2</c:v>
                </c:pt>
                <c:pt idx="5">
                  <c:v>0.11903127334189241</c:v>
                </c:pt>
                <c:pt idx="6">
                  <c:v>0.54838974807670038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37-4424-993D-8DD4F444E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4950352"/>
        <c:axId val="974950768"/>
      </c:barChart>
      <c:catAx>
        <c:axId val="974950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950768"/>
        <c:crosses val="autoZero"/>
        <c:auto val="1"/>
        <c:lblAlgn val="ctr"/>
        <c:lblOffset val="100"/>
        <c:noMultiLvlLbl val="0"/>
      </c:catAx>
      <c:valAx>
        <c:axId val="9749507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abundance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495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681452318460186"/>
          <c:y val="3.2985564304461965E-2"/>
          <c:w val="0.17271961642884964"/>
          <c:h val="0.133102945465150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29</xdr:row>
          <xdr:rowOff>66675</xdr:rowOff>
        </xdr:from>
        <xdr:to>
          <xdr:col>6</xdr:col>
          <xdr:colOff>561975</xdr:colOff>
          <xdr:row>43</xdr:row>
          <xdr:rowOff>152400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400050</xdr:colOff>
      <xdr:row>8</xdr:row>
      <xdr:rowOff>9525</xdr:rowOff>
    </xdr:from>
    <xdr:to>
      <xdr:col>20</xdr:col>
      <xdr:colOff>466725</xdr:colOff>
      <xdr:row>22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390525</xdr:colOff>
      <xdr:row>30</xdr:row>
      <xdr:rowOff>9525</xdr:rowOff>
    </xdr:from>
    <xdr:to>
      <xdr:col>20</xdr:col>
      <xdr:colOff>457200</xdr:colOff>
      <xdr:row>44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600075</xdr:colOff>
      <xdr:row>56</xdr:row>
      <xdr:rowOff>19050</xdr:rowOff>
    </xdr:from>
    <xdr:to>
      <xdr:col>14</xdr:col>
      <xdr:colOff>304800</xdr:colOff>
      <xdr:row>70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428625</xdr:colOff>
      <xdr:row>8</xdr:row>
      <xdr:rowOff>9525</xdr:rowOff>
    </xdr:from>
    <xdr:to>
      <xdr:col>20</xdr:col>
      <xdr:colOff>404813</xdr:colOff>
      <xdr:row>22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395287</xdr:colOff>
      <xdr:row>31</xdr:row>
      <xdr:rowOff>19050</xdr:rowOff>
    </xdr:from>
    <xdr:to>
      <xdr:col>20</xdr:col>
      <xdr:colOff>371475</xdr:colOff>
      <xdr:row>45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366712</xdr:colOff>
      <xdr:row>54</xdr:row>
      <xdr:rowOff>19050</xdr:rowOff>
    </xdr:from>
    <xdr:to>
      <xdr:col>20</xdr:col>
      <xdr:colOff>342900</xdr:colOff>
      <xdr:row>68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333375</xdr:colOff>
      <xdr:row>8</xdr:row>
      <xdr:rowOff>0</xdr:rowOff>
    </xdr:from>
    <xdr:to>
      <xdr:col>20</xdr:col>
      <xdr:colOff>390525</xdr:colOff>
      <xdr:row>22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361950</xdr:colOff>
      <xdr:row>30</xdr:row>
      <xdr:rowOff>19050</xdr:rowOff>
    </xdr:from>
    <xdr:to>
      <xdr:col>20</xdr:col>
      <xdr:colOff>428625</xdr:colOff>
      <xdr:row>44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381000</xdr:colOff>
      <xdr:row>53</xdr:row>
      <xdr:rowOff>19050</xdr:rowOff>
    </xdr:from>
    <xdr:to>
      <xdr:col>20</xdr:col>
      <xdr:colOff>238125</xdr:colOff>
      <xdr:row>67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109537</xdr:colOff>
      <xdr:row>74</xdr:row>
      <xdr:rowOff>33337</xdr:rowOff>
    </xdr:from>
    <xdr:to>
      <xdr:col>20</xdr:col>
      <xdr:colOff>552450</xdr:colOff>
      <xdr:row>88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600075</xdr:colOff>
      <xdr:row>94</xdr:row>
      <xdr:rowOff>23812</xdr:rowOff>
    </xdr:from>
    <xdr:to>
      <xdr:col>14</xdr:col>
      <xdr:colOff>228600</xdr:colOff>
      <xdr:row>108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4762</xdr:colOff>
      <xdr:row>135</xdr:row>
      <xdr:rowOff>4762</xdr:rowOff>
    </xdr:from>
    <xdr:to>
      <xdr:col>14</xdr:col>
      <xdr:colOff>219075</xdr:colOff>
      <xdr:row>149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8</xdr:row>
      <xdr:rowOff>0</xdr:rowOff>
    </xdr:from>
    <xdr:to>
      <xdr:col>20</xdr:col>
      <xdr:colOff>219075</xdr:colOff>
      <xdr:row>22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31</xdr:row>
      <xdr:rowOff>0</xdr:rowOff>
    </xdr:from>
    <xdr:to>
      <xdr:col>20</xdr:col>
      <xdr:colOff>219075</xdr:colOff>
      <xdr:row>45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50</xdr:row>
      <xdr:rowOff>123825</xdr:rowOff>
    </xdr:from>
    <xdr:to>
      <xdr:col>12</xdr:col>
      <xdr:colOff>228600</xdr:colOff>
      <xdr:row>65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16</xdr:row>
      <xdr:rowOff>0</xdr:rowOff>
    </xdr:from>
    <xdr:to>
      <xdr:col>10</xdr:col>
      <xdr:colOff>342901</xdr:colOff>
      <xdr:row>27</xdr:row>
      <xdr:rowOff>90488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61912</xdr:colOff>
      <xdr:row>74</xdr:row>
      <xdr:rowOff>14287</xdr:rowOff>
    </xdr:from>
    <xdr:to>
      <xdr:col>14</xdr:col>
      <xdr:colOff>0</xdr:colOff>
      <xdr:row>88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604837</xdr:colOff>
      <xdr:row>111</xdr:row>
      <xdr:rowOff>23812</xdr:rowOff>
    </xdr:from>
    <xdr:to>
      <xdr:col>14</xdr:col>
      <xdr:colOff>428625</xdr:colOff>
      <xdr:row>125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T-PCR_Yingnan_12-25-2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y0liu016\Documents\Desktop\Experiments\CNV_Lei%20Jin\Experiment_Yingnan%20Zhang\Paper%203%20-%20Corneal%20wound%20healing%20paper\Submission\RT-PCR_Yingnan_3-10-23.xlsx" TargetMode="External"/><Relationship Id="rId1" Type="http://schemas.openxmlformats.org/officeDocument/2006/relationships/externalLinkPath" Target="RT-PCR_Yingnan_3-10-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0liu016/Documents/Desktop/Experiments/CNV_Lei%20Jin/Experiment_Yingnan%20Zhang/Paper%203%20-%20Corneal%20wound%20healing%20paper/10-26-22%20Cell%20count%20hTCEpi+%20Vec%20&amp;%20ZEB1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-15-21"/>
      <sheetName val="11-19-21"/>
      <sheetName val="11-30-21"/>
      <sheetName val="12-25-21"/>
      <sheetName val="12-29-21"/>
      <sheetName val="2-10-22"/>
      <sheetName val="4-7-22"/>
      <sheetName val="4-25-22"/>
      <sheetName val="8-18-22"/>
      <sheetName val="8-19-22"/>
      <sheetName val="8-24-22"/>
      <sheetName val="8-26-22"/>
      <sheetName val="9-6-22"/>
      <sheetName val="9-15-22"/>
      <sheetName val="9-20-22"/>
      <sheetName val="9-27-22 Tnfa"/>
      <sheetName val="9-27-22 Cdh1"/>
      <sheetName val="10-6-22"/>
      <sheetName val="10-11-22"/>
      <sheetName val="10-26-22"/>
      <sheetName val="10-31-22"/>
    </sheetNames>
    <sheetDataSet>
      <sheetData sheetId="0"/>
      <sheetData sheetId="1"/>
      <sheetData sheetId="2"/>
      <sheetData sheetId="3"/>
      <sheetData sheetId="4">
        <row r="17">
          <cell r="R17">
            <v>0</v>
          </cell>
          <cell r="S17">
            <v>1</v>
          </cell>
          <cell r="T17">
            <v>2</v>
          </cell>
        </row>
        <row r="18">
          <cell r="Q18" t="str">
            <v>Zeb1 wt</v>
          </cell>
          <cell r="R18">
            <v>0</v>
          </cell>
          <cell r="S18">
            <v>91.844874173569849</v>
          </cell>
          <cell r="T18">
            <v>95.369078628370445</v>
          </cell>
        </row>
        <row r="19">
          <cell r="R19">
            <v>0</v>
          </cell>
          <cell r="S19">
            <v>1.373910261995227</v>
          </cell>
          <cell r="T19">
            <v>0.8411936848459981</v>
          </cell>
        </row>
        <row r="20">
          <cell r="Q20" t="str">
            <v>Zeb1 het</v>
          </cell>
          <cell r="R20">
            <v>0</v>
          </cell>
          <cell r="S20">
            <v>48.816071513807252</v>
          </cell>
          <cell r="T20">
            <v>70.233204362453833</v>
          </cell>
        </row>
        <row r="21">
          <cell r="R21">
            <v>0</v>
          </cell>
          <cell r="S21">
            <v>5.2452911283034336</v>
          </cell>
          <cell r="T21">
            <v>3.7283629243330796</v>
          </cell>
        </row>
      </sheetData>
      <sheetData sheetId="5"/>
      <sheetData sheetId="6">
        <row r="21">
          <cell r="C21" t="str">
            <v>Vect Ctrl</v>
          </cell>
          <cell r="E21" t="str">
            <v>ZEB1sh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</row>
        <row r="23">
          <cell r="B23">
            <v>7</v>
          </cell>
          <cell r="C23">
            <v>37.495405047404411</v>
          </cell>
          <cell r="D23">
            <v>17.310295449911681</v>
          </cell>
          <cell r="E23">
            <v>10.95642576084766</v>
          </cell>
          <cell r="F23">
            <v>3.7825107268164633</v>
          </cell>
        </row>
        <row r="24">
          <cell r="B24">
            <v>24</v>
          </cell>
          <cell r="C24">
            <v>77.449138092166734</v>
          </cell>
          <cell r="D24">
            <v>9.4147506479817338</v>
          </cell>
          <cell r="E24">
            <v>53.205955693431513</v>
          </cell>
          <cell r="F24">
            <v>11.634866368625842</v>
          </cell>
        </row>
        <row r="25">
          <cell r="B25">
            <v>30</v>
          </cell>
          <cell r="C25">
            <v>86.673039998033587</v>
          </cell>
          <cell r="D25">
            <v>6.7666715700741795</v>
          </cell>
          <cell r="E25">
            <v>59.451494775655725</v>
          </cell>
          <cell r="F25">
            <v>9.1724741119030337</v>
          </cell>
        </row>
        <row r="26">
          <cell r="B26">
            <v>48</v>
          </cell>
          <cell r="C26">
            <v>94.509705424621458</v>
          </cell>
          <cell r="D26">
            <v>5.8677000968123387</v>
          </cell>
          <cell r="E26">
            <v>63.001129017859192</v>
          </cell>
          <cell r="F26">
            <v>9.0153068185477689</v>
          </cell>
        </row>
      </sheetData>
      <sheetData sheetId="7"/>
      <sheetData sheetId="8"/>
      <sheetData sheetId="9">
        <row r="26">
          <cell r="Q26" t="str">
            <v>Zeb1 wt (n=3)</v>
          </cell>
          <cell r="S26" t="str">
            <v>Zeb1 het (n=3)</v>
          </cell>
        </row>
        <row r="27">
          <cell r="P27">
            <v>0</v>
          </cell>
          <cell r="Q27">
            <v>3.23164421863763</v>
          </cell>
          <cell r="R27">
            <v>0.20595483428999098</v>
          </cell>
          <cell r="S27">
            <v>1.3984579288784804</v>
          </cell>
          <cell r="T27">
            <v>0.401372417772489</v>
          </cell>
        </row>
        <row r="28">
          <cell r="P28">
            <v>0.25</v>
          </cell>
          <cell r="Q28">
            <v>25.845888976493214</v>
          </cell>
          <cell r="R28">
            <v>5.0430263618867546</v>
          </cell>
          <cell r="S28">
            <v>24.860802165610647</v>
          </cell>
          <cell r="T28">
            <v>3.650859290325295</v>
          </cell>
        </row>
        <row r="29">
          <cell r="P29">
            <v>1</v>
          </cell>
          <cell r="Q29">
            <v>9.4240480123020856</v>
          </cell>
          <cell r="R29">
            <v>2.541765088136835</v>
          </cell>
          <cell r="S29">
            <v>66.181720306263543</v>
          </cell>
          <cell r="T29">
            <v>14.8244353255132</v>
          </cell>
        </row>
        <row r="30">
          <cell r="P30">
            <v>3</v>
          </cell>
          <cell r="Q30">
            <v>2.5787710293611252</v>
          </cell>
          <cell r="R30">
            <v>0.65884538534279036</v>
          </cell>
          <cell r="S30">
            <v>23.780284585449589</v>
          </cell>
          <cell r="T30">
            <v>4.4427576107826825</v>
          </cell>
        </row>
        <row r="31">
          <cell r="P31">
            <v>7</v>
          </cell>
          <cell r="Q31">
            <v>2.5894069441878416</v>
          </cell>
          <cell r="R31">
            <v>0.35822940336288156</v>
          </cell>
          <cell r="S31">
            <v>3.5358459815857355</v>
          </cell>
          <cell r="T31">
            <v>1.4893983682429179</v>
          </cell>
        </row>
        <row r="32">
          <cell r="P32">
            <v>14</v>
          </cell>
          <cell r="Q32">
            <v>6.7204676299065431</v>
          </cell>
          <cell r="R32">
            <v>0.54284640390372074</v>
          </cell>
          <cell r="S32">
            <v>41.907309416085042</v>
          </cell>
          <cell r="T32">
            <v>14.233257554275957</v>
          </cell>
        </row>
        <row r="35">
          <cell r="Q35" t="str">
            <v>Zeb1 wt (n=3)</v>
          </cell>
          <cell r="S35" t="str">
            <v>Zeb1 het (n=3)</v>
          </cell>
        </row>
        <row r="36">
          <cell r="P36">
            <v>0</v>
          </cell>
          <cell r="Q36">
            <v>4.6710526315789469</v>
          </cell>
          <cell r="R36">
            <v>1.56321</v>
          </cell>
          <cell r="S36">
            <v>2.5673940949935816</v>
          </cell>
          <cell r="T36">
            <v>0.65223100000000001</v>
          </cell>
        </row>
        <row r="37">
          <cell r="P37">
            <v>0.25</v>
          </cell>
          <cell r="Q37">
            <v>43.987823439878234</v>
          </cell>
          <cell r="R37">
            <v>12.384513</v>
          </cell>
          <cell r="S37">
            <v>72.895732741746059</v>
          </cell>
          <cell r="T37">
            <v>20.1489010878363</v>
          </cell>
        </row>
        <row r="38">
          <cell r="P38">
            <v>1</v>
          </cell>
          <cell r="Q38">
            <v>62.881263616557739</v>
          </cell>
          <cell r="R38">
            <v>15.765214</v>
          </cell>
          <cell r="S38">
            <v>104.06614258606668</v>
          </cell>
          <cell r="T38">
            <v>18.927822297409151</v>
          </cell>
        </row>
        <row r="39">
          <cell r="P39">
            <v>3</v>
          </cell>
          <cell r="Q39">
            <v>4.2316501254226191</v>
          </cell>
          <cell r="R39">
            <v>1.1122745000000001</v>
          </cell>
          <cell r="S39">
            <v>20.367122647024434</v>
          </cell>
          <cell r="T39">
            <v>3.7614898595611601</v>
          </cell>
        </row>
        <row r="40">
          <cell r="P40">
            <v>7</v>
          </cell>
          <cell r="Q40">
            <v>1.7719568567026194</v>
          </cell>
          <cell r="R40">
            <v>0.245811</v>
          </cell>
          <cell r="S40">
            <v>6.3216195569136744</v>
          </cell>
          <cell r="T40">
            <v>1.550975423375522</v>
          </cell>
        </row>
        <row r="41">
          <cell r="P41">
            <v>14</v>
          </cell>
          <cell r="Q41">
            <v>6.5438223482163949</v>
          </cell>
          <cell r="R41">
            <v>1.453622</v>
          </cell>
          <cell r="S41">
            <v>13.69811320754717</v>
          </cell>
          <cell r="T41">
            <v>10.3987972632556</v>
          </cell>
        </row>
      </sheetData>
      <sheetData sheetId="10">
        <row r="9">
          <cell r="S9" t="str">
            <v>Zeb1 wt (n=3)</v>
          </cell>
          <cell r="U9" t="str">
            <v>Zeb1 het (n=3)</v>
          </cell>
        </row>
        <row r="10">
          <cell r="R10">
            <v>0</v>
          </cell>
          <cell r="S10">
            <v>8.6575388211721496</v>
          </cell>
          <cell r="T10">
            <v>5.0667103604203775E-2</v>
          </cell>
          <cell r="U10">
            <v>3.3935934031081505</v>
          </cell>
          <cell r="V10">
            <v>2.2557283991903749</v>
          </cell>
        </row>
        <row r="11">
          <cell r="R11">
            <v>0.25</v>
          </cell>
          <cell r="S11">
            <v>13.672217353198949</v>
          </cell>
          <cell r="T11">
            <v>0.98009476997638012</v>
          </cell>
          <cell r="U11">
            <v>14.887971698113208</v>
          </cell>
          <cell r="V11">
            <v>0.61791287330396849</v>
          </cell>
        </row>
        <row r="12">
          <cell r="R12">
            <v>1</v>
          </cell>
          <cell r="S12">
            <v>8.9280636906454358</v>
          </cell>
          <cell r="T12">
            <v>2.4458465439947199</v>
          </cell>
          <cell r="U12">
            <v>7.1391686031500132</v>
          </cell>
          <cell r="V12">
            <v>2.9887552747181712</v>
          </cell>
        </row>
        <row r="13">
          <cell r="R13">
            <v>3</v>
          </cell>
          <cell r="S13">
            <v>8.1139284473775621</v>
          </cell>
          <cell r="T13">
            <v>2.6380340015281671</v>
          </cell>
          <cell r="U13">
            <v>7.1384358009201199</v>
          </cell>
          <cell r="V13">
            <v>6.0795012779133373</v>
          </cell>
        </row>
        <row r="14">
          <cell r="R14">
            <v>7</v>
          </cell>
          <cell r="S14">
            <v>10.307380820909257</v>
          </cell>
          <cell r="T14">
            <v>4.12597062644112</v>
          </cell>
          <cell r="U14">
            <v>1.4073417970672177</v>
          </cell>
          <cell r="V14">
            <v>0.32255714132742141</v>
          </cell>
        </row>
        <row r="15">
          <cell r="R15">
            <v>14</v>
          </cell>
          <cell r="S15">
            <v>25.313283208020049</v>
          </cell>
          <cell r="T15">
            <v>7.4087967169173004</v>
          </cell>
          <cell r="U15">
            <v>4.989322461657931</v>
          </cell>
          <cell r="V15">
            <v>1.2239642166858957</v>
          </cell>
        </row>
        <row r="34">
          <cell r="S34" t="str">
            <v>Zeb1 wt (n=3)</v>
          </cell>
          <cell r="U34" t="str">
            <v>Zeb1 het (n=3)</v>
          </cell>
        </row>
        <row r="35">
          <cell r="R35">
            <v>0</v>
          </cell>
          <cell r="S35">
            <v>89.166666666666671</v>
          </cell>
          <cell r="T35">
            <v>26.96688400119795</v>
          </cell>
          <cell r="U35">
            <v>66.864227808433824</v>
          </cell>
          <cell r="V35">
            <v>13.352235526366201</v>
          </cell>
        </row>
        <row r="36">
          <cell r="R36">
            <v>0.25</v>
          </cell>
          <cell r="S36">
            <v>54.40729483282675</v>
          </cell>
          <cell r="T36">
            <v>2.0384993520872472</v>
          </cell>
          <cell r="U36">
            <v>59.852153963803211</v>
          </cell>
          <cell r="V36">
            <v>4.1250336254707003</v>
          </cell>
        </row>
        <row r="37">
          <cell r="R37">
            <v>1</v>
          </cell>
          <cell r="S37">
            <v>57.959226787789163</v>
          </cell>
          <cell r="T37">
            <v>6.5903095157224074</v>
          </cell>
          <cell r="U37">
            <v>55.934227448098476</v>
          </cell>
          <cell r="V37">
            <v>2.838298033652793</v>
          </cell>
        </row>
        <row r="38">
          <cell r="R38">
            <v>3</v>
          </cell>
          <cell r="S38">
            <v>90.443920644274215</v>
          </cell>
          <cell r="T38">
            <v>15.9254846718582</v>
          </cell>
          <cell r="U38">
            <v>76.75269254216623</v>
          </cell>
          <cell r="V38">
            <v>10.800155525117884</v>
          </cell>
        </row>
        <row r="39">
          <cell r="R39">
            <v>7</v>
          </cell>
          <cell r="S39">
            <v>101.02854409185139</v>
          </cell>
          <cell r="T39">
            <v>13.128423600836699</v>
          </cell>
          <cell r="U39">
            <v>51.221794738483936</v>
          </cell>
          <cell r="V39">
            <v>5.0282662063397279</v>
          </cell>
        </row>
        <row r="40">
          <cell r="R40">
            <v>14</v>
          </cell>
          <cell r="S40">
            <v>73.715914243150465</v>
          </cell>
          <cell r="T40">
            <v>7.5254955803455124</v>
          </cell>
          <cell r="U40">
            <v>50.191675794085434</v>
          </cell>
          <cell r="V40">
            <v>9.7921833207898992</v>
          </cell>
        </row>
      </sheetData>
      <sheetData sheetId="11"/>
      <sheetData sheetId="12">
        <row r="3">
          <cell r="P3" t="str">
            <v>Zeb1 wt</v>
          </cell>
          <cell r="R3" t="str">
            <v>Zeb1 het</v>
          </cell>
        </row>
        <row r="4"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</row>
        <row r="5">
          <cell r="O5">
            <v>3</v>
          </cell>
          <cell r="P5">
            <v>5.18047500690417E-2</v>
          </cell>
          <cell r="Q5">
            <v>4.2012268453170465E-2</v>
          </cell>
          <cell r="R5">
            <v>5.4546199750803326E-2</v>
          </cell>
          <cell r="S5">
            <v>6.9110609963404138E-2</v>
          </cell>
        </row>
        <row r="6">
          <cell r="O6">
            <v>7</v>
          </cell>
          <cell r="P6">
            <v>0.20293182243365313</v>
          </cell>
          <cell r="Q6">
            <v>8.7883894223573289E-2</v>
          </cell>
          <cell r="R6">
            <v>0.202950357400485</v>
          </cell>
          <cell r="S6">
            <v>9.9694307531236051E-2</v>
          </cell>
        </row>
        <row r="7">
          <cell r="O7">
            <v>14</v>
          </cell>
          <cell r="P7">
            <v>0.52298554133148034</v>
          </cell>
          <cell r="Q7">
            <v>9.9800005705153141E-2</v>
          </cell>
          <cell r="R7">
            <v>0.42150796773558918</v>
          </cell>
          <cell r="S7">
            <v>0.13876018849637287</v>
          </cell>
        </row>
        <row r="8">
          <cell r="O8">
            <v>21</v>
          </cell>
          <cell r="P8">
            <v>0.98583264291632156</v>
          </cell>
          <cell r="Q8">
            <v>0.12883942431821657</v>
          </cell>
          <cell r="R8">
            <v>0.60819534614291648</v>
          </cell>
          <cell r="S8">
            <v>0.1792605670660149</v>
          </cell>
        </row>
        <row r="9">
          <cell r="O9">
            <v>28</v>
          </cell>
          <cell r="P9">
            <v>1.0552954539380495</v>
          </cell>
          <cell r="Q9">
            <v>0.1175357626574344</v>
          </cell>
          <cell r="R9">
            <v>0.62852072267033898</v>
          </cell>
          <cell r="S9">
            <v>0.1392532569845979</v>
          </cell>
        </row>
      </sheetData>
      <sheetData sheetId="13"/>
      <sheetData sheetId="14"/>
      <sheetData sheetId="15">
        <row r="125">
          <cell r="D125" t="str">
            <v>Zeb1 wt (n=3)</v>
          </cell>
          <cell r="F125" t="str">
            <v>Zeb1 het (n=3)</v>
          </cell>
        </row>
        <row r="126">
          <cell r="C126">
            <v>0</v>
          </cell>
          <cell r="D126">
            <v>3.8929760333763759</v>
          </cell>
          <cell r="E126">
            <v>0.75219978229839202</v>
          </cell>
          <cell r="F126">
            <v>5.2951402854903105</v>
          </cell>
          <cell r="G126">
            <v>0.72322354372211006</v>
          </cell>
        </row>
        <row r="127">
          <cell r="C127">
            <v>0.25</v>
          </cell>
          <cell r="D127">
            <v>179.69481071437852</v>
          </cell>
          <cell r="E127">
            <v>27.856208547157518</v>
          </cell>
          <cell r="F127">
            <v>245.07610841571966</v>
          </cell>
          <cell r="G127">
            <v>35.870273288666958</v>
          </cell>
        </row>
        <row r="128">
          <cell r="C128">
            <v>1</v>
          </cell>
          <cell r="D128">
            <v>107.83657287958606</v>
          </cell>
          <cell r="E128">
            <v>7.1378984508868202</v>
          </cell>
          <cell r="F128">
            <v>181.4270293315561</v>
          </cell>
          <cell r="G128">
            <v>42.573287739165302</v>
          </cell>
        </row>
        <row r="129">
          <cell r="C129">
            <v>3</v>
          </cell>
          <cell r="D129">
            <v>37.195559028146739</v>
          </cell>
          <cell r="E129">
            <v>22.135897356552764</v>
          </cell>
          <cell r="F129">
            <v>120.64977268268751</v>
          </cell>
          <cell r="G129">
            <v>6.1915498474175372</v>
          </cell>
        </row>
        <row r="130">
          <cell r="C130">
            <v>7</v>
          </cell>
          <cell r="D130">
            <v>10.056248515332724</v>
          </cell>
          <cell r="E130">
            <v>1.1600761884780291</v>
          </cell>
          <cell r="F130">
            <v>6.7088172022981496</v>
          </cell>
          <cell r="G130">
            <v>1.6578042944061879</v>
          </cell>
        </row>
        <row r="131">
          <cell r="C131">
            <v>14</v>
          </cell>
          <cell r="D131">
            <v>4.3966889891288741</v>
          </cell>
          <cell r="E131">
            <v>1.6462597754949861</v>
          </cell>
          <cell r="F131">
            <v>4.4620756910112398</v>
          </cell>
          <cell r="G131">
            <v>0.48849988689842516</v>
          </cell>
        </row>
        <row r="134">
          <cell r="D134" t="str">
            <v>Zeb1 wt (n=3)</v>
          </cell>
          <cell r="F134" t="str">
            <v>Zeb1 het (n=3)</v>
          </cell>
        </row>
        <row r="135">
          <cell r="C135">
            <v>0</v>
          </cell>
          <cell r="D135">
            <v>15.486732226386186</v>
          </cell>
          <cell r="E135">
            <v>4.1153044901236528</v>
          </cell>
          <cell r="F135">
            <v>31.440397570610969</v>
          </cell>
          <cell r="G135">
            <v>14.477251026020715</v>
          </cell>
        </row>
        <row r="136">
          <cell r="C136">
            <v>0.25</v>
          </cell>
          <cell r="D136">
            <v>193.52446470226178</v>
          </cell>
          <cell r="E136">
            <v>19.868699435760494</v>
          </cell>
          <cell r="F136">
            <v>790.21856081317526</v>
          </cell>
          <cell r="G136">
            <v>165.92136252333998</v>
          </cell>
        </row>
        <row r="137">
          <cell r="C137">
            <v>1</v>
          </cell>
          <cell r="D137">
            <v>68.33088352108696</v>
          </cell>
          <cell r="E137">
            <v>32.692585608637145</v>
          </cell>
          <cell r="F137">
            <v>893.74065636712055</v>
          </cell>
          <cell r="G137">
            <v>158.96632284147236</v>
          </cell>
        </row>
        <row r="138">
          <cell r="C138">
            <v>3</v>
          </cell>
          <cell r="D138">
            <v>63.32356649057531</v>
          </cell>
          <cell r="E138">
            <v>28.278513378162941</v>
          </cell>
          <cell r="F138">
            <v>839.02171402171405</v>
          </cell>
          <cell r="G138">
            <v>330.55853490795528</v>
          </cell>
        </row>
        <row r="139">
          <cell r="C139">
            <v>7</v>
          </cell>
          <cell r="D139">
            <v>64.646389915081571</v>
          </cell>
          <cell r="E139">
            <v>88.748934175001665</v>
          </cell>
          <cell r="F139">
            <v>119.70925222579278</v>
          </cell>
          <cell r="G139">
            <v>45.940061222334791</v>
          </cell>
        </row>
        <row r="140">
          <cell r="C140">
            <v>14</v>
          </cell>
          <cell r="D140">
            <v>85.866459523526501</v>
          </cell>
          <cell r="E140">
            <v>117.84124837562032</v>
          </cell>
          <cell r="F140">
            <v>155.539660046557</v>
          </cell>
          <cell r="G140">
            <v>28.197070236420451</v>
          </cell>
        </row>
        <row r="143">
          <cell r="D143" t="str">
            <v>Zeb1 wt (n=3)</v>
          </cell>
          <cell r="F143" t="str">
            <v>Zeb1 het (n=3)</v>
          </cell>
        </row>
        <row r="144">
          <cell r="C144">
            <v>0</v>
          </cell>
          <cell r="D144">
            <v>0.7981829903009604</v>
          </cell>
          <cell r="E144">
            <v>0.27879914462315142</v>
          </cell>
          <cell r="F144">
            <v>0.73690504924815681</v>
          </cell>
          <cell r="G144">
            <v>0.22530984792546332</v>
          </cell>
        </row>
        <row r="145">
          <cell r="C145">
            <v>0.25</v>
          </cell>
          <cell r="D145">
            <v>265.23466888906597</v>
          </cell>
          <cell r="E145">
            <v>15.732950643058073</v>
          </cell>
          <cell r="F145">
            <v>1033.2993709392474</v>
          </cell>
          <cell r="G145">
            <v>80.400433464199381</v>
          </cell>
        </row>
        <row r="146">
          <cell r="C146">
            <v>1</v>
          </cell>
          <cell r="D146">
            <v>219.69043773010608</v>
          </cell>
          <cell r="E146">
            <v>9.1542515849910426</v>
          </cell>
          <cell r="F146">
            <v>1051.1799066705701</v>
          </cell>
          <cell r="G146">
            <v>15.683729517389439</v>
          </cell>
        </row>
        <row r="147">
          <cell r="C147">
            <v>3</v>
          </cell>
          <cell r="D147">
            <v>232.77904038132627</v>
          </cell>
          <cell r="E147">
            <v>38.958635935914394</v>
          </cell>
          <cell r="F147">
            <v>735.91836727976749</v>
          </cell>
          <cell r="G147">
            <v>134.08402642279188</v>
          </cell>
        </row>
        <row r="148">
          <cell r="C148">
            <v>7</v>
          </cell>
          <cell r="D148">
            <v>300.20413000873128</v>
          </cell>
          <cell r="E148">
            <v>58.04282957562004</v>
          </cell>
          <cell r="F148">
            <v>69.228376982213902</v>
          </cell>
          <cell r="G148">
            <v>9.12659598033758</v>
          </cell>
        </row>
        <row r="149">
          <cell r="C149">
            <v>14</v>
          </cell>
          <cell r="D149">
            <v>98.105810769786942</v>
          </cell>
          <cell r="E149">
            <v>81.733487894809102</v>
          </cell>
          <cell r="F149">
            <v>149.35254716112777</v>
          </cell>
          <cell r="G149">
            <v>42.940936883501998</v>
          </cell>
        </row>
      </sheetData>
      <sheetData sheetId="16">
        <row r="83">
          <cell r="C83" t="str">
            <v>Zeb1 wt (n=3)</v>
          </cell>
          <cell r="E83" t="str">
            <v>Zeb1 het (n=3)</v>
          </cell>
        </row>
        <row r="84">
          <cell r="B84">
            <v>0</v>
          </cell>
          <cell r="C84">
            <v>69.306620178741468</v>
          </cell>
          <cell r="D84">
            <v>17.182711557032398</v>
          </cell>
          <cell r="E84">
            <v>41.429568653943598</v>
          </cell>
          <cell r="F84">
            <v>5.2299993959266571</v>
          </cell>
        </row>
        <row r="85">
          <cell r="B85">
            <v>0.25</v>
          </cell>
          <cell r="C85">
            <v>14.820132007428674</v>
          </cell>
          <cell r="D85">
            <v>2.3946107179346607</v>
          </cell>
          <cell r="E85">
            <v>260.39078898026099</v>
          </cell>
          <cell r="F85">
            <v>44.409312379559267</v>
          </cell>
        </row>
        <row r="86">
          <cell r="B86">
            <v>1</v>
          </cell>
          <cell r="C86">
            <v>79.824551703597635</v>
          </cell>
          <cell r="D86">
            <v>17.249585280384402</v>
          </cell>
          <cell r="E86">
            <v>231.37223718428962</v>
          </cell>
          <cell r="F86">
            <v>30.062365444779029</v>
          </cell>
        </row>
        <row r="87">
          <cell r="B87">
            <v>3</v>
          </cell>
          <cell r="C87">
            <v>195.87271143041949</v>
          </cell>
          <cell r="D87">
            <v>16.922754458833264</v>
          </cell>
          <cell r="E87">
            <v>115.16107714141724</v>
          </cell>
          <cell r="F87">
            <v>24.435783193038251</v>
          </cell>
        </row>
        <row r="88">
          <cell r="B88">
            <v>7</v>
          </cell>
          <cell r="C88">
            <v>31.970002673614303</v>
          </cell>
          <cell r="D88">
            <v>3.8653282552103758</v>
          </cell>
          <cell r="E88">
            <v>48.54136980096964</v>
          </cell>
          <cell r="F88">
            <v>3.7682705787810962</v>
          </cell>
        </row>
        <row r="89">
          <cell r="B89">
            <v>14</v>
          </cell>
          <cell r="C89">
            <v>31.014578247138306</v>
          </cell>
          <cell r="D89">
            <v>0.64400575802612459</v>
          </cell>
          <cell r="E89">
            <v>37.39367741076596</v>
          </cell>
          <cell r="F89">
            <v>11.267622755106673</v>
          </cell>
        </row>
        <row r="101">
          <cell r="C101" t="str">
            <v>Zeb1 wt (n=3)</v>
          </cell>
          <cell r="E101" t="str">
            <v>Zeb1 het (n=3)</v>
          </cell>
        </row>
        <row r="102">
          <cell r="B102">
            <v>0</v>
          </cell>
          <cell r="C102">
            <v>84.846599741549753</v>
          </cell>
          <cell r="D102">
            <v>49.162526907313129</v>
          </cell>
          <cell r="E102">
            <v>31.594276912806603</v>
          </cell>
          <cell r="F102">
            <v>30.034802244166901</v>
          </cell>
        </row>
        <row r="103">
          <cell r="B103">
            <v>0.25</v>
          </cell>
          <cell r="C103">
            <v>2.5560625762647824</v>
          </cell>
          <cell r="D103">
            <v>9.6780251048375927</v>
          </cell>
          <cell r="E103">
            <v>825.2690276077002</v>
          </cell>
          <cell r="F103">
            <v>179.25273505097289</v>
          </cell>
        </row>
        <row r="104">
          <cell r="B104">
            <v>1</v>
          </cell>
          <cell r="C104">
            <v>207.53595962339719</v>
          </cell>
          <cell r="D104">
            <v>65.595171502312496</v>
          </cell>
          <cell r="E104">
            <v>503.97414988708425</v>
          </cell>
          <cell r="F104">
            <v>216.80572728456127</v>
          </cell>
        </row>
        <row r="105">
          <cell r="B105">
            <v>3</v>
          </cell>
          <cell r="C105">
            <v>314.70763295521652</v>
          </cell>
          <cell r="D105">
            <v>148.02926568509216</v>
          </cell>
          <cell r="E105">
            <v>414.34686682147839</v>
          </cell>
          <cell r="F105">
            <v>105.25538626556629</v>
          </cell>
        </row>
        <row r="106">
          <cell r="B106">
            <v>7</v>
          </cell>
          <cell r="C106">
            <v>11.422091252190961</v>
          </cell>
          <cell r="D106">
            <v>24.950645765840608</v>
          </cell>
          <cell r="E106">
            <v>125.6781894814432</v>
          </cell>
          <cell r="F106">
            <v>67.495262931526796</v>
          </cell>
        </row>
        <row r="107">
          <cell r="B107">
            <v>14</v>
          </cell>
          <cell r="C107">
            <v>20.554188248705358</v>
          </cell>
          <cell r="D107">
            <v>24.388179479247203</v>
          </cell>
          <cell r="E107">
            <v>119.01628675315889</v>
          </cell>
          <cell r="F107">
            <v>34.467373532425434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-15-21"/>
      <sheetName val="11-19-21"/>
      <sheetName val="11-30-21"/>
      <sheetName val="12-25-21"/>
      <sheetName val="12-29-21"/>
      <sheetName val="2-10-22"/>
      <sheetName val="4-7-22"/>
      <sheetName val="4-25-22"/>
      <sheetName val="8-18-22"/>
      <sheetName val="8-19-22"/>
      <sheetName val="8-24-22"/>
      <sheetName val="8-26-22"/>
      <sheetName val="9-6-22"/>
      <sheetName val="9-15-22"/>
      <sheetName val="9-20-22"/>
      <sheetName val="9-27-22 Tnfa"/>
      <sheetName val="9-27-22 Cdh1"/>
      <sheetName val="10-6-22"/>
      <sheetName val="10-11-22"/>
      <sheetName val="10-26-22"/>
      <sheetName val="10-31-22"/>
      <sheetName val="2-23-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4">
          <cell r="M44" t="str">
            <v>Zeb1 wt</v>
          </cell>
          <cell r="O44" t="str">
            <v>Zeb1 het</v>
          </cell>
        </row>
        <row r="45">
          <cell r="L45" t="str">
            <v>Zeb1</v>
          </cell>
          <cell r="M45">
            <v>1.0239313220208128</v>
          </cell>
          <cell r="N45">
            <v>0.31124058930443094</v>
          </cell>
          <cell r="O45">
            <v>0.43192288846296123</v>
          </cell>
          <cell r="P45">
            <v>0.18841982631365001</v>
          </cell>
        </row>
        <row r="46">
          <cell r="L46" t="str">
            <v>Casp8</v>
          </cell>
          <cell r="M46">
            <v>1.0021688277411718</v>
          </cell>
          <cell r="N46">
            <v>9.3191837583713008E-2</v>
          </cell>
          <cell r="O46">
            <v>3.4475578602390451</v>
          </cell>
          <cell r="P46">
            <v>0.53851344225709663</v>
          </cell>
        </row>
        <row r="47">
          <cell r="L47" t="str">
            <v>Trail</v>
          </cell>
          <cell r="M47" t="e">
            <v>#DIV/0!</v>
          </cell>
          <cell r="N47" t="e">
            <v>#DIV/0!</v>
          </cell>
          <cell r="O47" t="e">
            <v>#DIV/0!</v>
          </cell>
          <cell r="P47" t="e">
            <v>#DIV/0!</v>
          </cell>
        </row>
        <row r="48">
          <cell r="L48" t="str">
            <v>Trailr</v>
          </cell>
          <cell r="M48">
            <v>1.0002942919045106</v>
          </cell>
          <cell r="N48">
            <v>3.4312400579124942E-2</v>
          </cell>
          <cell r="O48">
            <v>3.5308880258966022</v>
          </cell>
          <cell r="P48">
            <v>0.5344284686092412</v>
          </cell>
        </row>
        <row r="49">
          <cell r="L49" t="str">
            <v>Fasl</v>
          </cell>
          <cell r="M49" t="e">
            <v>#DIV/0!</v>
          </cell>
          <cell r="N49" t="e">
            <v>#DIV/0!</v>
          </cell>
          <cell r="O49" t="e">
            <v>#DIV/0!</v>
          </cell>
          <cell r="P49" t="e">
            <v>#DIV/0!</v>
          </cell>
        </row>
        <row r="50">
          <cell r="L50" t="str">
            <v>Fas</v>
          </cell>
          <cell r="M50">
            <v>1.0188929508313103</v>
          </cell>
          <cell r="N50">
            <v>0.27619864320352566</v>
          </cell>
          <cell r="O50">
            <v>12.818294071316506</v>
          </cell>
          <cell r="P50">
            <v>3.8428579376232799</v>
          </cell>
        </row>
        <row r="51">
          <cell r="L51" t="str">
            <v>Tnfa</v>
          </cell>
          <cell r="M51" t="e">
            <v>#DIV/0!</v>
          </cell>
          <cell r="N51" t="e">
            <v>#DIV/0!</v>
          </cell>
          <cell r="O51" t="e">
            <v>#DIV/0!</v>
          </cell>
          <cell r="P51" t="e">
            <v>#DIV/0!</v>
          </cell>
        </row>
        <row r="52">
          <cell r="L52" t="str">
            <v>Tnfr</v>
          </cell>
          <cell r="M52">
            <v>1.0001501453239687</v>
          </cell>
          <cell r="N52">
            <v>2.4507680084240105E-2</v>
          </cell>
          <cell r="O52">
            <v>1.9421976137783874</v>
          </cell>
          <cell r="P52">
            <v>0.56306403334171884</v>
          </cell>
        </row>
        <row r="53">
          <cell r="L53" t="str">
            <v>Nfkb</v>
          </cell>
          <cell r="M53">
            <v>1.0606601717798214</v>
          </cell>
          <cell r="N53">
            <v>0.5</v>
          </cell>
          <cell r="O53">
            <v>0.49150236133990122</v>
          </cell>
          <cell r="P53">
            <v>0.15856307543111642</v>
          </cell>
        </row>
      </sheetData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P2">
            <v>0</v>
          </cell>
          <cell r="Q2">
            <v>1</v>
          </cell>
          <cell r="R2">
            <v>2</v>
          </cell>
          <cell r="S2">
            <v>4</v>
          </cell>
          <cell r="T2">
            <v>5</v>
          </cell>
        </row>
        <row r="3">
          <cell r="O3" t="str">
            <v>Vect Ctrl</v>
          </cell>
          <cell r="P3">
            <v>0</v>
          </cell>
          <cell r="Q3">
            <v>0.35147060993827467</v>
          </cell>
          <cell r="R3">
            <v>0.87876372214969434</v>
          </cell>
          <cell r="S3">
            <v>3.5583453279293447</v>
          </cell>
          <cell r="T3">
            <v>7.3257989192898281</v>
          </cell>
        </row>
        <row r="4">
          <cell r="P4">
            <v>0</v>
          </cell>
          <cell r="Q4">
            <v>0.12521839750346303</v>
          </cell>
          <cell r="R4">
            <v>0.15389012939386079</v>
          </cell>
          <cell r="S4">
            <v>0.57486210898870005</v>
          </cell>
          <cell r="T4">
            <v>0.90022560778889005</v>
          </cell>
        </row>
        <row r="5">
          <cell r="O5" t="str">
            <v>ZEB1sh</v>
          </cell>
          <cell r="P5">
            <v>0</v>
          </cell>
          <cell r="Q5">
            <v>0.18807646872418737</v>
          </cell>
          <cell r="R5">
            <v>0.73434819774547744</v>
          </cell>
          <cell r="S5">
            <v>2.2457472873386077</v>
          </cell>
          <cell r="T5">
            <v>4.5722635299121928</v>
          </cell>
        </row>
        <row r="6">
          <cell r="P6">
            <v>0</v>
          </cell>
          <cell r="Q6">
            <v>9.590365823962349E-2</v>
          </cell>
          <cell r="R6">
            <v>0.33805862105888851</v>
          </cell>
          <cell r="S6">
            <v>0.40625999088846343</v>
          </cell>
          <cell r="T6">
            <v>0.85364354288500721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D7B26-BACA-4EC4-AB06-567319CCA88A}">
  <dimension ref="A1:J29"/>
  <sheetViews>
    <sheetView tabSelected="1" workbookViewId="0">
      <selection activeCell="M31" sqref="M31"/>
    </sheetView>
  </sheetViews>
  <sheetFormatPr defaultRowHeight="15" x14ac:dyDescent="0.25"/>
  <sheetData>
    <row r="1" spans="1:10" x14ac:dyDescent="0.25">
      <c r="A1" t="s">
        <v>56</v>
      </c>
    </row>
    <row r="2" spans="1:10" x14ac:dyDescent="0.25">
      <c r="A2" s="45" t="s">
        <v>0</v>
      </c>
      <c r="B2" s="45" t="s">
        <v>1</v>
      </c>
      <c r="C2" s="46" t="s">
        <v>12</v>
      </c>
      <c r="D2" s="46"/>
      <c r="E2" s="46" t="s">
        <v>2</v>
      </c>
      <c r="F2" s="46"/>
      <c r="G2" s="46" t="s">
        <v>3</v>
      </c>
      <c r="H2" s="46"/>
      <c r="I2" s="46" t="s">
        <v>4</v>
      </c>
      <c r="J2" s="46"/>
    </row>
    <row r="3" spans="1:10" x14ac:dyDescent="0.25">
      <c r="A3" s="45"/>
      <c r="B3" s="45"/>
      <c r="C3" s="3" t="s">
        <v>5</v>
      </c>
      <c r="D3" s="3" t="s">
        <v>6</v>
      </c>
      <c r="E3" s="3" t="s">
        <v>5</v>
      </c>
      <c r="F3" s="3" t="s">
        <v>6</v>
      </c>
      <c r="G3" s="3" t="s">
        <v>5</v>
      </c>
      <c r="H3" s="3" t="s">
        <v>6</v>
      </c>
      <c r="I3" s="3" t="s">
        <v>5</v>
      </c>
      <c r="J3" s="3" t="s">
        <v>6</v>
      </c>
    </row>
    <row r="4" spans="1:10" x14ac:dyDescent="0.25">
      <c r="A4" s="45" t="s">
        <v>9</v>
      </c>
      <c r="B4" s="3">
        <v>1</v>
      </c>
      <c r="C4" s="1">
        <v>4802</v>
      </c>
      <c r="D4" s="1">
        <v>100</v>
      </c>
      <c r="E4" s="1">
        <v>70</v>
      </c>
      <c r="F4" s="1">
        <v>1.4577259475218658</v>
      </c>
      <c r="G4" s="1">
        <v>0</v>
      </c>
      <c r="H4" s="1">
        <v>0</v>
      </c>
      <c r="I4" s="1">
        <v>0</v>
      </c>
      <c r="J4" s="1">
        <v>0</v>
      </c>
    </row>
    <row r="5" spans="1:10" x14ac:dyDescent="0.25">
      <c r="A5" s="45"/>
      <c r="B5" s="3">
        <v>2</v>
      </c>
      <c r="C5" s="1">
        <v>7255</v>
      </c>
      <c r="D5" s="1">
        <v>100</v>
      </c>
      <c r="E5" s="1">
        <v>70</v>
      </c>
      <c r="F5" s="1">
        <v>0.96485182632667121</v>
      </c>
      <c r="G5" s="1">
        <v>0</v>
      </c>
      <c r="H5" s="1">
        <v>0</v>
      </c>
      <c r="I5" s="1">
        <v>0</v>
      </c>
      <c r="J5" s="1">
        <v>0</v>
      </c>
    </row>
    <row r="6" spans="1:10" x14ac:dyDescent="0.25">
      <c r="A6" s="45"/>
      <c r="B6" s="3">
        <v>3</v>
      </c>
      <c r="C6" s="1">
        <v>4684</v>
      </c>
      <c r="D6" s="1">
        <v>100</v>
      </c>
      <c r="E6" s="1">
        <v>280</v>
      </c>
      <c r="F6" s="1">
        <v>5.977796754910333</v>
      </c>
      <c r="G6" s="1">
        <v>180</v>
      </c>
      <c r="H6" s="1">
        <v>3.8428693424423574</v>
      </c>
      <c r="I6" s="1">
        <v>0</v>
      </c>
      <c r="J6" s="1">
        <v>0</v>
      </c>
    </row>
    <row r="7" spans="1:10" x14ac:dyDescent="0.25">
      <c r="A7" s="45"/>
      <c r="B7" s="3">
        <v>4</v>
      </c>
      <c r="C7" s="1">
        <v>8194</v>
      </c>
      <c r="D7" s="1">
        <v>100</v>
      </c>
      <c r="E7" s="1">
        <v>3241</v>
      </c>
      <c r="F7" s="1">
        <v>39.553331706126436</v>
      </c>
      <c r="G7" s="1">
        <v>157</v>
      </c>
      <c r="H7" s="1">
        <v>1.9160361239931658</v>
      </c>
      <c r="I7" s="1">
        <v>70</v>
      </c>
      <c r="J7" s="1">
        <v>0.85428362216255793</v>
      </c>
    </row>
    <row r="8" spans="1:10" x14ac:dyDescent="0.25">
      <c r="A8" s="45"/>
      <c r="B8" s="3">
        <v>5</v>
      </c>
      <c r="C8" s="1">
        <v>5921</v>
      </c>
      <c r="D8" s="1">
        <v>100</v>
      </c>
      <c r="E8" s="1">
        <v>2011</v>
      </c>
      <c r="F8" s="1">
        <v>33.963857456510723</v>
      </c>
      <c r="G8" s="1">
        <v>1012</v>
      </c>
      <c r="H8" s="1">
        <v>17.091707481844285</v>
      </c>
      <c r="I8" s="1">
        <v>0</v>
      </c>
      <c r="J8" s="1">
        <v>0</v>
      </c>
    </row>
    <row r="9" spans="1:10" x14ac:dyDescent="0.25">
      <c r="A9" s="45"/>
      <c r="B9" s="3">
        <v>6</v>
      </c>
      <c r="C9" s="1">
        <v>7080</v>
      </c>
      <c r="D9" s="1">
        <v>100</v>
      </c>
      <c r="E9" s="1">
        <v>71</v>
      </c>
      <c r="F9" s="1">
        <v>1.0028248587570621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5">
      <c r="A10" s="45"/>
      <c r="B10" s="3">
        <v>7</v>
      </c>
      <c r="C10" s="1">
        <v>7393</v>
      </c>
      <c r="D10" s="1">
        <v>100</v>
      </c>
      <c r="E10" s="1">
        <v>10</v>
      </c>
      <c r="F10" s="1">
        <v>0.13526308670363857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5">
      <c r="A11" s="45"/>
      <c r="B11" s="3">
        <v>8</v>
      </c>
      <c r="C11" s="1">
        <v>7502</v>
      </c>
      <c r="D11" s="1">
        <v>100</v>
      </c>
      <c r="E11" s="1">
        <v>208</v>
      </c>
      <c r="F11" s="1">
        <v>2.7725939749400164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5">
      <c r="A12" s="45"/>
      <c r="B12" s="3" t="s">
        <v>92</v>
      </c>
      <c r="C12" s="1"/>
      <c r="D12" s="2">
        <v>100</v>
      </c>
      <c r="E12" s="1"/>
      <c r="F12" s="2">
        <v>10.728530701474595</v>
      </c>
      <c r="G12" s="1"/>
      <c r="H12" s="2">
        <v>2.8563266185349763</v>
      </c>
      <c r="I12" s="1"/>
      <c r="J12" s="2">
        <v>0.10678545277031974</v>
      </c>
    </row>
    <row r="13" spans="1:10" x14ac:dyDescent="0.25">
      <c r="A13" s="45"/>
      <c r="B13" s="3" t="s">
        <v>11</v>
      </c>
      <c r="C13" s="1"/>
      <c r="D13" s="2">
        <v>0</v>
      </c>
      <c r="E13" s="1"/>
      <c r="F13" s="2">
        <v>16.23356260282506</v>
      </c>
      <c r="G13" s="1"/>
      <c r="H13" s="2">
        <v>5.9196584100586946</v>
      </c>
      <c r="I13" s="1"/>
      <c r="J13" s="2">
        <v>0.30203487114387556</v>
      </c>
    </row>
    <row r="14" spans="1:10" x14ac:dyDescent="0.25">
      <c r="A14" s="45" t="s">
        <v>10</v>
      </c>
      <c r="B14" s="3">
        <v>1</v>
      </c>
      <c r="C14" s="1">
        <v>8033</v>
      </c>
      <c r="D14" s="1">
        <v>100</v>
      </c>
      <c r="E14" s="1">
        <v>4133</v>
      </c>
      <c r="F14" s="1">
        <v>51.450267645960409</v>
      </c>
      <c r="G14" s="1">
        <v>150</v>
      </c>
      <c r="H14" s="1">
        <v>1.8672973982322916</v>
      </c>
      <c r="I14" s="1">
        <v>70</v>
      </c>
      <c r="J14" s="1">
        <v>0.87140545250840284</v>
      </c>
    </row>
    <row r="15" spans="1:10" x14ac:dyDescent="0.25">
      <c r="A15" s="45"/>
      <c r="B15" s="3">
        <v>2</v>
      </c>
      <c r="C15" s="1">
        <v>9461</v>
      </c>
      <c r="D15" s="1">
        <v>100</v>
      </c>
      <c r="E15" s="1">
        <v>4691</v>
      </c>
      <c r="F15" s="1">
        <v>49.582496564845151</v>
      </c>
      <c r="G15" s="1">
        <v>70</v>
      </c>
      <c r="H15" s="1">
        <v>0.73987950533770208</v>
      </c>
      <c r="I15" s="1">
        <v>0</v>
      </c>
      <c r="J15" s="1">
        <v>0</v>
      </c>
    </row>
    <row r="16" spans="1:10" x14ac:dyDescent="0.25">
      <c r="A16" s="45"/>
      <c r="B16" s="3">
        <v>3</v>
      </c>
      <c r="C16" s="1">
        <v>11088</v>
      </c>
      <c r="D16" s="1">
        <v>100</v>
      </c>
      <c r="E16" s="1">
        <v>3010</v>
      </c>
      <c r="F16" s="1">
        <v>27.146464646464647</v>
      </c>
      <c r="G16" s="1">
        <v>2058</v>
      </c>
      <c r="H16" s="1">
        <v>18.560606060606062</v>
      </c>
      <c r="I16" s="1">
        <v>1561</v>
      </c>
      <c r="J16" s="1">
        <v>14.078282828282829</v>
      </c>
    </row>
    <row r="17" spans="1:10" x14ac:dyDescent="0.25">
      <c r="A17" s="45"/>
      <c r="B17" s="3">
        <v>4</v>
      </c>
      <c r="C17" s="1">
        <v>9294</v>
      </c>
      <c r="D17" s="1">
        <v>100</v>
      </c>
      <c r="E17" s="1">
        <v>2743</v>
      </c>
      <c r="F17" s="1">
        <v>29.513664729933293</v>
      </c>
      <c r="G17" s="1">
        <v>180</v>
      </c>
      <c r="H17" s="1">
        <v>1.9367333763718526</v>
      </c>
      <c r="I17" s="1">
        <v>180</v>
      </c>
      <c r="J17" s="1">
        <v>1.9367333763718526</v>
      </c>
    </row>
    <row r="18" spans="1:10" x14ac:dyDescent="0.25">
      <c r="A18" s="45"/>
      <c r="B18" s="3">
        <v>5</v>
      </c>
      <c r="C18" s="1">
        <v>9553</v>
      </c>
      <c r="D18" s="1">
        <v>100</v>
      </c>
      <c r="E18" s="1">
        <v>3097</v>
      </c>
      <c r="F18" s="1">
        <v>32.419135350151784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5">
      <c r="A19" s="45"/>
      <c r="B19" s="3">
        <v>6</v>
      </c>
      <c r="C19" s="1">
        <v>10768</v>
      </c>
      <c r="D19" s="1">
        <v>100</v>
      </c>
      <c r="E19" s="1">
        <v>3786</v>
      </c>
      <c r="F19" s="1">
        <v>35.159732540861818</v>
      </c>
      <c r="G19" s="1">
        <v>70</v>
      </c>
      <c r="H19" s="1">
        <v>0.65007429420505203</v>
      </c>
      <c r="I19" s="1">
        <v>0</v>
      </c>
      <c r="J19" s="1">
        <v>0</v>
      </c>
    </row>
    <row r="20" spans="1:10" x14ac:dyDescent="0.25">
      <c r="A20" s="45"/>
      <c r="B20" s="3">
        <v>7</v>
      </c>
      <c r="C20" s="1">
        <v>9278</v>
      </c>
      <c r="D20" s="1">
        <v>100</v>
      </c>
      <c r="E20" s="1">
        <v>5266</v>
      </c>
      <c r="F20" s="1">
        <v>56.757921965940938</v>
      </c>
      <c r="G20" s="1">
        <v>4310</v>
      </c>
      <c r="H20" s="1">
        <v>46.453977150247901</v>
      </c>
      <c r="I20" s="1">
        <v>181</v>
      </c>
      <c r="J20" s="1">
        <v>1.9508514766113385</v>
      </c>
    </row>
    <row r="21" spans="1:10" x14ac:dyDescent="0.25">
      <c r="A21" s="45"/>
      <c r="B21" s="3">
        <v>8</v>
      </c>
      <c r="C21" s="1">
        <v>9897</v>
      </c>
      <c r="D21" s="1">
        <v>100</v>
      </c>
      <c r="E21" s="1">
        <v>2883</v>
      </c>
      <c r="F21" s="1">
        <v>29.13003940588057</v>
      </c>
      <c r="G21" s="1">
        <v>150</v>
      </c>
      <c r="H21" s="1">
        <v>1.515610791148833</v>
      </c>
      <c r="I21" s="1">
        <v>70</v>
      </c>
      <c r="J21" s="1">
        <v>0.70728503586945535</v>
      </c>
    </row>
    <row r="22" spans="1:10" x14ac:dyDescent="0.25">
      <c r="A22" s="45"/>
      <c r="B22" s="3" t="s">
        <v>92</v>
      </c>
      <c r="C22" s="1"/>
      <c r="D22" s="2">
        <v>100</v>
      </c>
      <c r="E22" s="1"/>
      <c r="F22" s="2">
        <v>38.894965356254822</v>
      </c>
      <c r="G22" s="1"/>
      <c r="H22" s="2">
        <v>8.9655223220187121</v>
      </c>
      <c r="I22" s="1"/>
      <c r="J22" s="2">
        <v>2.4430697712054843</v>
      </c>
    </row>
    <row r="23" spans="1:10" x14ac:dyDescent="0.25">
      <c r="A23" s="45"/>
      <c r="B23" s="3" t="s">
        <v>11</v>
      </c>
      <c r="C23" s="1"/>
      <c r="D23" s="2">
        <v>0</v>
      </c>
      <c r="E23" s="1"/>
      <c r="F23" s="2">
        <v>11.760845119042843</v>
      </c>
      <c r="G23" s="1"/>
      <c r="H23" s="2">
        <v>16.344191613296598</v>
      </c>
      <c r="I23" s="1"/>
      <c r="J23" s="2">
        <v>4.7699308976257662</v>
      </c>
    </row>
    <row r="24" spans="1:10" x14ac:dyDescent="0.25">
      <c r="B24" t="s">
        <v>45</v>
      </c>
      <c r="D24" t="e">
        <v>#DIV/0!</v>
      </c>
      <c r="F24">
        <v>1.3844469131855965E-3</v>
      </c>
      <c r="H24">
        <v>0.3370788961753991</v>
      </c>
      <c r="J24">
        <v>0.18845234663675928</v>
      </c>
    </row>
    <row r="25" spans="1:10" x14ac:dyDescent="0.25">
      <c r="C25">
        <v>0</v>
      </c>
      <c r="D25">
        <v>1</v>
      </c>
      <c r="E25">
        <v>2</v>
      </c>
      <c r="F25">
        <v>3</v>
      </c>
    </row>
    <row r="26" spans="1:10" x14ac:dyDescent="0.25">
      <c r="B26" t="s">
        <v>9</v>
      </c>
      <c r="C26" s="17">
        <v>100</v>
      </c>
      <c r="D26" s="17">
        <v>10.728530701474595</v>
      </c>
      <c r="E26" s="17">
        <v>2.8563266185349763</v>
      </c>
      <c r="F26" s="17">
        <v>0.10678545277031974</v>
      </c>
    </row>
    <row r="27" spans="1:10" x14ac:dyDescent="0.25">
      <c r="C27" s="17">
        <v>0</v>
      </c>
      <c r="D27" s="17">
        <v>16.23356260282506</v>
      </c>
      <c r="E27" s="17">
        <v>5.9196584100586946</v>
      </c>
      <c r="F27" s="17">
        <v>0.30203487114387556</v>
      </c>
    </row>
    <row r="28" spans="1:10" x14ac:dyDescent="0.25">
      <c r="B28" t="s">
        <v>10</v>
      </c>
      <c r="C28" s="17">
        <v>100</v>
      </c>
      <c r="D28" s="17">
        <v>38.894965356254822</v>
      </c>
      <c r="E28" s="17">
        <v>8.9655223220187121</v>
      </c>
      <c r="F28" s="17">
        <v>2.4430697712054843</v>
      </c>
    </row>
    <row r="29" spans="1:10" x14ac:dyDescent="0.25">
      <c r="C29" s="17">
        <v>0</v>
      </c>
      <c r="D29" s="17">
        <v>11.760845119042843</v>
      </c>
      <c r="E29" s="17">
        <v>16.344191613296598</v>
      </c>
      <c r="F29" s="17">
        <v>4.7699308976257662</v>
      </c>
    </row>
  </sheetData>
  <mergeCells count="8">
    <mergeCell ref="A14:A23"/>
    <mergeCell ref="I2:J2"/>
    <mergeCell ref="A4:A13"/>
    <mergeCell ref="A2:A3"/>
    <mergeCell ref="B2:B3"/>
    <mergeCell ref="C2:D2"/>
    <mergeCell ref="E2:F2"/>
    <mergeCell ref="G2:H2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Prism6.Document" shapeId="1027" r:id="rId3">
          <objectPr defaultSize="0" r:id="rId4">
            <anchor moveWithCells="1">
              <from>
                <xdr:col>1</xdr:col>
                <xdr:colOff>47625</xdr:colOff>
                <xdr:row>29</xdr:row>
                <xdr:rowOff>66675</xdr:rowOff>
              </from>
              <to>
                <xdr:col>6</xdr:col>
                <xdr:colOff>561975</xdr:colOff>
                <xdr:row>43</xdr:row>
                <xdr:rowOff>152400</xdr:rowOff>
              </to>
            </anchor>
          </objectPr>
        </oleObject>
      </mc:Choice>
      <mc:Fallback>
        <oleObject progId="Prism6.Document" shapeId="1027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0DD81-F858-43D2-AD60-6382E9F098C3}">
  <dimension ref="A1:S106"/>
  <sheetViews>
    <sheetView workbookViewId="0">
      <selection activeCell="L24" sqref="L24"/>
    </sheetView>
  </sheetViews>
  <sheetFormatPr defaultRowHeight="15" x14ac:dyDescent="0.25"/>
  <sheetData>
    <row r="1" spans="1:19" x14ac:dyDescent="0.25">
      <c r="A1" t="s">
        <v>54</v>
      </c>
    </row>
    <row r="2" spans="1:19" x14ac:dyDescent="0.25">
      <c r="A2" s="45" t="s">
        <v>13</v>
      </c>
      <c r="B2" s="45" t="s">
        <v>14</v>
      </c>
      <c r="C2" s="46">
        <v>1</v>
      </c>
      <c r="D2" s="46"/>
      <c r="E2" s="46"/>
      <c r="F2" s="46">
        <v>2</v>
      </c>
      <c r="G2" s="46"/>
      <c r="H2" s="46"/>
      <c r="I2" s="46">
        <v>3</v>
      </c>
      <c r="J2" s="46"/>
      <c r="K2" s="46"/>
      <c r="L2" s="3" t="s">
        <v>92</v>
      </c>
      <c r="M2" s="3" t="s">
        <v>11</v>
      </c>
      <c r="P2" t="s">
        <v>16</v>
      </c>
      <c r="R2" t="s">
        <v>17</v>
      </c>
    </row>
    <row r="3" spans="1:19" x14ac:dyDescent="0.25">
      <c r="A3" s="45"/>
      <c r="B3" s="45"/>
      <c r="C3" s="3" t="s">
        <v>23</v>
      </c>
      <c r="D3" s="3" t="s">
        <v>21</v>
      </c>
      <c r="E3" s="3" t="s">
        <v>6</v>
      </c>
      <c r="F3" s="3" t="s">
        <v>23</v>
      </c>
      <c r="G3" s="3" t="s">
        <v>21</v>
      </c>
      <c r="H3" s="3" t="s">
        <v>6</v>
      </c>
      <c r="I3" s="3" t="s">
        <v>23</v>
      </c>
      <c r="J3" s="3" t="s">
        <v>21</v>
      </c>
      <c r="K3" s="3" t="s">
        <v>6</v>
      </c>
      <c r="L3" s="3" t="s">
        <v>6</v>
      </c>
      <c r="M3" s="3" t="s">
        <v>6</v>
      </c>
      <c r="O3">
        <v>0</v>
      </c>
      <c r="P3">
        <v>3.23164421863763</v>
      </c>
      <c r="Q3">
        <v>0.20595483428999098</v>
      </c>
      <c r="R3">
        <v>1.3984579288784804</v>
      </c>
      <c r="S3">
        <v>0.401372417772489</v>
      </c>
    </row>
    <row r="4" spans="1:19" x14ac:dyDescent="0.25">
      <c r="A4" s="47" t="s">
        <v>9</v>
      </c>
      <c r="B4" s="3">
        <v>0</v>
      </c>
      <c r="C4" s="4">
        <v>441</v>
      </c>
      <c r="D4" s="4">
        <v>13771</v>
      </c>
      <c r="E4" s="4">
        <v>3.2023818168615206</v>
      </c>
      <c r="F4" s="4">
        <v>382</v>
      </c>
      <c r="G4" s="4">
        <v>12558</v>
      </c>
      <c r="H4" s="4">
        <v>3.0418856505813028</v>
      </c>
      <c r="I4" s="4">
        <v>498</v>
      </c>
      <c r="J4" s="4">
        <v>14432</v>
      </c>
      <c r="K4" s="4">
        <v>3.4506651884700665</v>
      </c>
      <c r="L4" s="5">
        <v>3.23164421863763</v>
      </c>
      <c r="M4" s="5">
        <v>0.20595483428999098</v>
      </c>
      <c r="O4">
        <v>0.25</v>
      </c>
      <c r="P4">
        <v>25.845888976493214</v>
      </c>
      <c r="Q4">
        <v>5.0430263618867546</v>
      </c>
      <c r="R4">
        <v>24.860802165610647</v>
      </c>
      <c r="S4">
        <v>3.650859290325295</v>
      </c>
    </row>
    <row r="5" spans="1:19" x14ac:dyDescent="0.25">
      <c r="A5" s="48"/>
      <c r="B5" s="3">
        <v>0.25</v>
      </c>
      <c r="C5" s="4">
        <v>1153</v>
      </c>
      <c r="D5" s="4">
        <v>4276</v>
      </c>
      <c r="E5" s="4">
        <v>26.964452759588397</v>
      </c>
      <c r="F5" s="4">
        <v>1334</v>
      </c>
      <c r="G5" s="4">
        <v>4412</v>
      </c>
      <c r="H5" s="4">
        <v>30.235720761559381</v>
      </c>
      <c r="I5" s="4">
        <v>1157</v>
      </c>
      <c r="J5" s="4">
        <v>5689</v>
      </c>
      <c r="K5" s="4">
        <v>20.33749340833187</v>
      </c>
      <c r="L5" s="5">
        <v>25.845888976493214</v>
      </c>
      <c r="M5" s="5">
        <v>5.0430263618867546</v>
      </c>
      <c r="O5">
        <v>1</v>
      </c>
      <c r="P5">
        <v>9.4240480123020856</v>
      </c>
      <c r="Q5">
        <v>2.541765088136835</v>
      </c>
      <c r="R5">
        <v>66.181720306263543</v>
      </c>
      <c r="S5">
        <v>14.8244353255132</v>
      </c>
    </row>
    <row r="6" spans="1:19" x14ac:dyDescent="0.25">
      <c r="A6" s="48"/>
      <c r="B6" s="3">
        <v>1</v>
      </c>
      <c r="C6" s="4">
        <v>1475</v>
      </c>
      <c r="D6" s="4">
        <v>16192</v>
      </c>
      <c r="E6" s="4">
        <v>9.1094367588932794</v>
      </c>
      <c r="F6" s="4">
        <v>1103</v>
      </c>
      <c r="G6" s="4">
        <v>15636</v>
      </c>
      <c r="H6" s="4">
        <v>7.0542338193911478</v>
      </c>
      <c r="I6" s="4">
        <v>1469</v>
      </c>
      <c r="J6" s="4">
        <v>12132</v>
      </c>
      <c r="K6" s="4">
        <v>12.108473458621827</v>
      </c>
      <c r="L6" s="5">
        <v>9.4240480123020856</v>
      </c>
      <c r="M6" s="5">
        <v>2.541765088136835</v>
      </c>
      <c r="O6">
        <v>3</v>
      </c>
      <c r="P6">
        <v>2.5787710293611252</v>
      </c>
      <c r="Q6">
        <v>0.65884538534279036</v>
      </c>
      <c r="R6">
        <v>23.780284585449589</v>
      </c>
      <c r="S6">
        <v>4.4427576107826825</v>
      </c>
    </row>
    <row r="7" spans="1:19" x14ac:dyDescent="0.25">
      <c r="A7" s="48"/>
      <c r="B7" s="3">
        <v>3</v>
      </c>
      <c r="C7" s="4">
        <v>426</v>
      </c>
      <c r="D7" s="4">
        <v>18446</v>
      </c>
      <c r="E7" s="4">
        <v>2.3094437818497235</v>
      </c>
      <c r="F7" s="4">
        <v>507</v>
      </c>
      <c r="G7" s="4">
        <v>15227</v>
      </c>
      <c r="H7" s="4">
        <v>3.329611873645498</v>
      </c>
      <c r="I7" s="4">
        <v>364</v>
      </c>
      <c r="J7" s="4">
        <v>17356</v>
      </c>
      <c r="K7" s="4">
        <v>2.0972574325881537</v>
      </c>
      <c r="L7" s="5">
        <v>2.5787710293611252</v>
      </c>
      <c r="M7" s="5">
        <v>0.65884538534279036</v>
      </c>
      <c r="O7">
        <v>7</v>
      </c>
      <c r="P7">
        <v>2.5894069441878416</v>
      </c>
      <c r="Q7">
        <v>0.35822940336288156</v>
      </c>
      <c r="R7">
        <v>3.5358459815857355</v>
      </c>
      <c r="S7">
        <v>1.4893983682429179</v>
      </c>
    </row>
    <row r="8" spans="1:19" x14ac:dyDescent="0.25">
      <c r="A8" s="48"/>
      <c r="B8" s="3">
        <v>7</v>
      </c>
      <c r="C8" s="4">
        <v>344</v>
      </c>
      <c r="D8" s="4">
        <v>14841</v>
      </c>
      <c r="E8" s="4">
        <v>2.3179031062596862</v>
      </c>
      <c r="F8" s="4">
        <v>445</v>
      </c>
      <c r="G8" s="4">
        <v>14856</v>
      </c>
      <c r="H8" s="4">
        <v>2.9954227248249863</v>
      </c>
      <c r="I8" s="4">
        <v>332</v>
      </c>
      <c r="J8" s="4">
        <v>13524</v>
      </c>
      <c r="K8" s="4">
        <v>2.4548950014788526</v>
      </c>
      <c r="L8" s="5">
        <v>2.5894069441878416</v>
      </c>
      <c r="M8" s="5">
        <v>0.35822940336288156</v>
      </c>
      <c r="O8">
        <v>14</v>
      </c>
      <c r="P8">
        <v>6.7204676299065431</v>
      </c>
      <c r="Q8">
        <v>0.54284640390372074</v>
      </c>
      <c r="R8">
        <v>41.907309416085042</v>
      </c>
      <c r="S8">
        <v>14.233257554275957</v>
      </c>
    </row>
    <row r="9" spans="1:19" x14ac:dyDescent="0.25">
      <c r="A9" s="48"/>
      <c r="B9" s="3">
        <v>14</v>
      </c>
      <c r="C9" s="4">
        <v>1083</v>
      </c>
      <c r="D9" s="4">
        <v>15973</v>
      </c>
      <c r="E9" s="4">
        <v>6.7801915732799101</v>
      </c>
      <c r="F9" s="4">
        <v>994</v>
      </c>
      <c r="G9" s="4">
        <v>16162</v>
      </c>
      <c r="H9" s="4">
        <v>6.1502289320628636</v>
      </c>
      <c r="I9" s="4">
        <v>1096</v>
      </c>
      <c r="J9" s="4">
        <v>15157</v>
      </c>
      <c r="K9" s="4">
        <v>7.2309823843768548</v>
      </c>
      <c r="L9" s="5">
        <v>6.7204676299065431</v>
      </c>
      <c r="M9" s="5">
        <v>0.54284640390372074</v>
      </c>
    </row>
    <row r="10" spans="1:19" x14ac:dyDescent="0.25">
      <c r="A10" s="48"/>
      <c r="B10" s="3" t="s">
        <v>7</v>
      </c>
      <c r="C10" s="6"/>
      <c r="D10" s="6"/>
      <c r="E10" s="7"/>
      <c r="F10" s="7"/>
      <c r="G10" s="7"/>
      <c r="H10" s="7"/>
      <c r="I10" s="7"/>
      <c r="J10" s="7"/>
      <c r="K10" s="7"/>
      <c r="L10" s="4"/>
      <c r="M10" s="4"/>
    </row>
    <row r="11" spans="1:19" x14ac:dyDescent="0.25">
      <c r="A11" s="49"/>
      <c r="B11" s="3" t="s">
        <v>11</v>
      </c>
      <c r="C11" s="6"/>
      <c r="D11" s="6"/>
      <c r="E11" s="7"/>
      <c r="F11" s="7"/>
      <c r="G11" s="7"/>
      <c r="H11" s="7"/>
      <c r="I11" s="7"/>
      <c r="J11" s="7"/>
      <c r="K11" s="7"/>
      <c r="L11" s="4"/>
      <c r="M11" s="4"/>
      <c r="N11" t="s">
        <v>18</v>
      </c>
    </row>
    <row r="12" spans="1:19" x14ac:dyDescent="0.25">
      <c r="A12" s="47" t="s">
        <v>10</v>
      </c>
      <c r="B12" s="3">
        <v>0</v>
      </c>
      <c r="C12" s="4">
        <v>237</v>
      </c>
      <c r="D12" s="4">
        <v>16813</v>
      </c>
      <c r="E12" s="4">
        <v>1.4096235056206508</v>
      </c>
      <c r="F12" s="4">
        <v>155</v>
      </c>
      <c r="G12" s="4">
        <v>15631</v>
      </c>
      <c r="H12" s="4">
        <v>0.99161921822020338</v>
      </c>
      <c r="I12" s="4">
        <v>236</v>
      </c>
      <c r="J12" s="4">
        <v>13154</v>
      </c>
      <c r="K12" s="4">
        <v>1.794131062794587</v>
      </c>
      <c r="L12" s="5">
        <v>1.3984579288784804</v>
      </c>
      <c r="M12" s="5">
        <v>0.401372417772489</v>
      </c>
      <c r="N12">
        <v>2.1477643226432046E-3</v>
      </c>
    </row>
    <row r="13" spans="1:19" x14ac:dyDescent="0.25">
      <c r="A13" s="48"/>
      <c r="B13" s="3">
        <v>0.25</v>
      </c>
      <c r="C13" s="4">
        <v>1533</v>
      </c>
      <c r="D13" s="4">
        <v>6210</v>
      </c>
      <c r="E13" s="4">
        <v>24.685990338164252</v>
      </c>
      <c r="F13" s="4">
        <v>1334</v>
      </c>
      <c r="G13" s="4">
        <v>4665</v>
      </c>
      <c r="H13" s="4">
        <v>28.59592711682744</v>
      </c>
      <c r="I13" s="4">
        <v>1176</v>
      </c>
      <c r="J13" s="4">
        <v>5521</v>
      </c>
      <c r="K13" s="4">
        <v>21.300489041840244</v>
      </c>
      <c r="L13" s="5">
        <v>24.860802165610647</v>
      </c>
      <c r="M13" s="5">
        <v>3.650859290325295</v>
      </c>
      <c r="N13">
        <v>0.79761247647619937</v>
      </c>
    </row>
    <row r="14" spans="1:19" x14ac:dyDescent="0.25">
      <c r="A14" s="48"/>
      <c r="B14" s="3">
        <v>1</v>
      </c>
      <c r="C14" s="4">
        <v>10079</v>
      </c>
      <c r="D14" s="4">
        <v>14993</v>
      </c>
      <c r="E14" s="4">
        <v>67.224704862269064</v>
      </c>
      <c r="F14" s="4">
        <v>8307</v>
      </c>
      <c r="G14" s="4">
        <v>16332</v>
      </c>
      <c r="H14" s="4">
        <v>50.863335782512856</v>
      </c>
      <c r="I14" s="4">
        <v>12215</v>
      </c>
      <c r="J14" s="4">
        <v>15182</v>
      </c>
      <c r="K14" s="4">
        <v>80.457120274008702</v>
      </c>
      <c r="L14" s="5">
        <v>66.181720306263543</v>
      </c>
      <c r="M14" s="5">
        <v>14.8244353255132</v>
      </c>
      <c r="N14">
        <v>2.8312760552222454E-3</v>
      </c>
    </row>
    <row r="15" spans="1:19" x14ac:dyDescent="0.25">
      <c r="A15" s="48"/>
      <c r="B15" s="3">
        <v>3</v>
      </c>
      <c r="C15" s="4">
        <v>3138</v>
      </c>
      <c r="D15" s="4">
        <v>14363</v>
      </c>
      <c r="E15" s="4">
        <v>21.847803383694213</v>
      </c>
      <c r="F15" s="4">
        <v>4200</v>
      </c>
      <c r="G15" s="4">
        <v>14552</v>
      </c>
      <c r="H15" s="4">
        <v>28.86201209455745</v>
      </c>
      <c r="I15" s="4">
        <v>3374</v>
      </c>
      <c r="J15" s="4">
        <v>16354</v>
      </c>
      <c r="K15" s="4">
        <v>20.631038278097101</v>
      </c>
      <c r="L15" s="5">
        <v>23.780284585449589</v>
      </c>
      <c r="M15" s="5">
        <v>4.4427576107826825</v>
      </c>
      <c r="N15">
        <v>1.2185169596583079E-3</v>
      </c>
    </row>
    <row r="16" spans="1:19" x14ac:dyDescent="0.25">
      <c r="A16" s="48"/>
      <c r="B16" s="3">
        <v>7</v>
      </c>
      <c r="C16" s="4">
        <v>733</v>
      </c>
      <c r="D16" s="4">
        <v>22877</v>
      </c>
      <c r="E16" s="4">
        <v>3.2040914455566725</v>
      </c>
      <c r="F16" s="4">
        <v>807</v>
      </c>
      <c r="G16" s="4">
        <v>15630</v>
      </c>
      <c r="H16" s="4">
        <v>5.1631477927063338</v>
      </c>
      <c r="I16" s="4">
        <v>336</v>
      </c>
      <c r="J16" s="4">
        <v>14998</v>
      </c>
      <c r="K16" s="4">
        <v>2.2402987064941993</v>
      </c>
      <c r="L16" s="5">
        <v>3.5358459815857355</v>
      </c>
      <c r="M16" s="5">
        <v>1.4893983682429179</v>
      </c>
      <c r="N16">
        <v>0.34484361108685646</v>
      </c>
    </row>
    <row r="17" spans="1:19" x14ac:dyDescent="0.25">
      <c r="A17" s="48"/>
      <c r="B17" s="3">
        <v>14</v>
      </c>
      <c r="C17" s="4">
        <v>3453</v>
      </c>
      <c r="D17" s="4">
        <v>10808</v>
      </c>
      <c r="E17" s="4">
        <v>31.948556624722428</v>
      </c>
      <c r="F17" s="4">
        <v>4395</v>
      </c>
      <c r="G17" s="4">
        <v>12358</v>
      </c>
      <c r="H17" s="4">
        <v>35.564007120893351</v>
      </c>
      <c r="I17" s="4">
        <v>8491</v>
      </c>
      <c r="J17" s="4">
        <v>14587</v>
      </c>
      <c r="K17" s="4">
        <v>58.209364502639339</v>
      </c>
      <c r="L17" s="5">
        <v>41.907309416085042</v>
      </c>
      <c r="M17" s="5">
        <v>14.233257554275957</v>
      </c>
      <c r="N17">
        <v>1.2860003296059734E-2</v>
      </c>
    </row>
    <row r="18" spans="1:19" x14ac:dyDescent="0.25">
      <c r="A18" s="48"/>
      <c r="B18" s="3" t="s">
        <v>7</v>
      </c>
      <c r="C18" s="6"/>
      <c r="D18" s="6"/>
      <c r="E18" s="6"/>
      <c r="F18" s="4"/>
      <c r="G18" s="4"/>
      <c r="H18" s="6"/>
      <c r="I18" s="4"/>
      <c r="J18" s="4"/>
      <c r="K18" s="6"/>
      <c r="L18" s="4"/>
      <c r="M18" s="4"/>
    </row>
    <row r="19" spans="1:19" x14ac:dyDescent="0.25">
      <c r="A19" s="49"/>
      <c r="B19" s="3" t="s">
        <v>11</v>
      </c>
      <c r="C19" s="6"/>
      <c r="D19" s="6"/>
      <c r="E19" s="6"/>
      <c r="F19" s="4"/>
      <c r="G19" s="4"/>
      <c r="H19" s="6"/>
      <c r="I19" s="4"/>
      <c r="J19" s="4"/>
      <c r="K19" s="6"/>
      <c r="L19" s="4"/>
      <c r="M19" s="4"/>
    </row>
    <row r="20" spans="1:19" x14ac:dyDescent="0.25">
      <c r="A20" s="16"/>
      <c r="B20" s="17"/>
      <c r="C20" s="8"/>
      <c r="D20" s="8"/>
      <c r="E20" s="8"/>
      <c r="H20" s="8"/>
      <c r="K20" s="8"/>
    </row>
    <row r="21" spans="1:19" x14ac:dyDescent="0.25">
      <c r="A21" s="16"/>
      <c r="B21" s="17"/>
      <c r="C21" s="8"/>
      <c r="D21" s="8"/>
      <c r="E21" s="8"/>
      <c r="H21" s="8"/>
      <c r="K21" s="8"/>
    </row>
    <row r="23" spans="1:19" x14ac:dyDescent="0.25">
      <c r="A23" t="s">
        <v>55</v>
      </c>
    </row>
    <row r="24" spans="1:19" x14ac:dyDescent="0.25">
      <c r="A24" s="45" t="s">
        <v>13</v>
      </c>
      <c r="B24" s="45" t="s">
        <v>14</v>
      </c>
      <c r="C24" s="46">
        <v>1</v>
      </c>
      <c r="D24" s="46"/>
      <c r="E24" s="46"/>
      <c r="F24" s="46">
        <v>2</v>
      </c>
      <c r="G24" s="46"/>
      <c r="H24" s="46"/>
      <c r="I24" s="46">
        <v>3</v>
      </c>
      <c r="J24" s="46"/>
      <c r="K24" s="46"/>
      <c r="L24" s="3" t="s">
        <v>92</v>
      </c>
      <c r="M24" s="3" t="s">
        <v>11</v>
      </c>
      <c r="P24" t="s">
        <v>16</v>
      </c>
      <c r="R24" t="s">
        <v>17</v>
      </c>
    </row>
    <row r="25" spans="1:19" x14ac:dyDescent="0.25">
      <c r="A25" s="45"/>
      <c r="B25" s="45"/>
      <c r="C25" s="3" t="s">
        <v>23</v>
      </c>
      <c r="D25" s="3" t="s">
        <v>21</v>
      </c>
      <c r="E25" s="3" t="s">
        <v>6</v>
      </c>
      <c r="F25" s="3" t="s">
        <v>23</v>
      </c>
      <c r="G25" s="3" t="s">
        <v>21</v>
      </c>
      <c r="H25" s="3" t="s">
        <v>6</v>
      </c>
      <c r="I25" s="3" t="s">
        <v>23</v>
      </c>
      <c r="J25" s="3" t="s">
        <v>21</v>
      </c>
      <c r="K25" s="3" t="s">
        <v>6</v>
      </c>
      <c r="L25" s="3" t="s">
        <v>6</v>
      </c>
      <c r="M25" s="3" t="s">
        <v>6</v>
      </c>
      <c r="O25">
        <v>0</v>
      </c>
      <c r="P25">
        <v>4.4242168304900931</v>
      </c>
      <c r="Q25">
        <v>1.5597190547758042</v>
      </c>
      <c r="R25">
        <v>2.5009335910776902</v>
      </c>
      <c r="S25">
        <v>0.37956067729025256</v>
      </c>
    </row>
    <row r="26" spans="1:19" x14ac:dyDescent="0.25">
      <c r="A26" s="47" t="s">
        <v>9</v>
      </c>
      <c r="B26" s="3">
        <v>0</v>
      </c>
      <c r="C26" s="4">
        <v>213</v>
      </c>
      <c r="D26" s="4">
        <v>4560</v>
      </c>
      <c r="E26" s="4">
        <v>4.6710526315789469</v>
      </c>
      <c r="F26" s="4">
        <v>254</v>
      </c>
      <c r="G26" s="4">
        <v>4345</v>
      </c>
      <c r="H26" s="4">
        <v>5.8457997698504034</v>
      </c>
      <c r="I26" s="4">
        <v>101</v>
      </c>
      <c r="J26" s="4">
        <v>3665</v>
      </c>
      <c r="K26" s="4">
        <v>2.7557980900409276</v>
      </c>
      <c r="L26" s="5">
        <v>4.4242168304900931</v>
      </c>
      <c r="M26" s="5">
        <v>1.5597190547758042</v>
      </c>
      <c r="O26">
        <v>0.25</v>
      </c>
      <c r="P26">
        <v>43.50418703474395</v>
      </c>
      <c r="Q26">
        <v>12.119332127007235</v>
      </c>
      <c r="R26">
        <v>73.013279019644457</v>
      </c>
      <c r="S26">
        <v>20.670582411885231</v>
      </c>
    </row>
    <row r="27" spans="1:19" x14ac:dyDescent="0.25">
      <c r="A27" s="48"/>
      <c r="B27" s="3">
        <v>0.25</v>
      </c>
      <c r="C27" s="4">
        <v>2206</v>
      </c>
      <c r="D27" s="4">
        <v>5256</v>
      </c>
      <c r="E27" s="4">
        <v>41.971080669710808</v>
      </c>
      <c r="F27" s="4">
        <v>1511</v>
      </c>
      <c r="G27" s="4">
        <v>4689</v>
      </c>
      <c r="H27" s="4">
        <v>32.224354873107274</v>
      </c>
      <c r="I27" s="4">
        <v>2884</v>
      </c>
      <c r="J27" s="4">
        <v>5121</v>
      </c>
      <c r="K27" s="4">
        <v>56.317125561413782</v>
      </c>
      <c r="L27" s="5">
        <v>43.50418703474395</v>
      </c>
      <c r="M27" s="5">
        <v>12.119332127007235</v>
      </c>
      <c r="O27">
        <v>1</v>
      </c>
      <c r="P27">
        <v>62.591227211414321</v>
      </c>
      <c r="Q27">
        <v>14.45413794995763</v>
      </c>
      <c r="R27">
        <v>104.68678294247856</v>
      </c>
      <c r="S27">
        <v>18.996192446081309</v>
      </c>
    </row>
    <row r="28" spans="1:19" x14ac:dyDescent="0.25">
      <c r="A28" s="48"/>
      <c r="B28" s="3">
        <v>1</v>
      </c>
      <c r="C28" s="4">
        <v>4324</v>
      </c>
      <c r="D28" s="4">
        <v>7344</v>
      </c>
      <c r="E28" s="4">
        <v>58.877995642701528</v>
      </c>
      <c r="F28" s="4">
        <v>5131</v>
      </c>
      <c r="G28" s="4">
        <v>6533</v>
      </c>
      <c r="H28" s="4">
        <v>78.539721414357871</v>
      </c>
      <c r="I28" s="4">
        <v>2900</v>
      </c>
      <c r="J28" s="4">
        <v>5759</v>
      </c>
      <c r="K28" s="4">
        <v>50.355964577183542</v>
      </c>
      <c r="L28" s="5">
        <v>62.591227211414321</v>
      </c>
      <c r="M28" s="5">
        <v>14.45413794995763</v>
      </c>
      <c r="O28">
        <v>3</v>
      </c>
      <c r="P28">
        <v>4.2297110436891501</v>
      </c>
      <c r="Q28">
        <v>1.390251301082631</v>
      </c>
      <c r="R28">
        <v>20.757286484006979</v>
      </c>
      <c r="S28">
        <v>3.4276629861225474</v>
      </c>
    </row>
    <row r="29" spans="1:19" x14ac:dyDescent="0.25">
      <c r="A29" s="48"/>
      <c r="B29" s="3">
        <v>3</v>
      </c>
      <c r="C29" s="4">
        <v>322</v>
      </c>
      <c r="D29" s="4">
        <v>9169</v>
      </c>
      <c r="E29" s="4">
        <v>3.5118333515105244</v>
      </c>
      <c r="F29" s="4">
        <v>217</v>
      </c>
      <c r="G29" s="4">
        <v>6487</v>
      </c>
      <c r="H29" s="4">
        <v>3.3451518421458299</v>
      </c>
      <c r="I29" s="4">
        <v>246</v>
      </c>
      <c r="J29" s="4">
        <v>4218</v>
      </c>
      <c r="K29" s="4">
        <v>5.8321479374110954</v>
      </c>
      <c r="L29" s="5">
        <v>4.2297110436891501</v>
      </c>
      <c r="M29" s="5">
        <v>1.390251301082631</v>
      </c>
      <c r="O29">
        <v>7</v>
      </c>
      <c r="P29">
        <v>1.7375552098807026</v>
      </c>
      <c r="Q29">
        <v>0.48452209652018391</v>
      </c>
      <c r="R29">
        <v>6.3346891035224582</v>
      </c>
      <c r="S29">
        <v>1.3179085559123429</v>
      </c>
    </row>
    <row r="30" spans="1:19" x14ac:dyDescent="0.25">
      <c r="A30" s="48"/>
      <c r="B30" s="3">
        <v>7</v>
      </c>
      <c r="C30" s="4">
        <v>46</v>
      </c>
      <c r="D30" s="4">
        <v>2596</v>
      </c>
      <c r="E30" s="4">
        <v>1.7719568567026194</v>
      </c>
      <c r="F30" s="4">
        <v>118</v>
      </c>
      <c r="G30" s="4">
        <v>5354</v>
      </c>
      <c r="H30" s="4">
        <v>2.2039596563317145</v>
      </c>
      <c r="I30" s="4">
        <v>70</v>
      </c>
      <c r="J30" s="4">
        <v>5660</v>
      </c>
      <c r="K30" s="4">
        <v>1.2367491166077738</v>
      </c>
      <c r="L30" s="5">
        <v>1.7375552098807026</v>
      </c>
      <c r="M30" s="5">
        <v>0.48452209652018391</v>
      </c>
      <c r="O30">
        <v>14</v>
      </c>
      <c r="P30">
        <v>6.6340162034396899</v>
      </c>
      <c r="Q30">
        <v>1.3025898777946112</v>
      </c>
      <c r="R30">
        <v>13.498790287435233</v>
      </c>
      <c r="S30">
        <v>9.0550243469008063</v>
      </c>
    </row>
    <row r="31" spans="1:19" x14ac:dyDescent="0.25">
      <c r="A31" s="48"/>
      <c r="B31" s="3">
        <v>14</v>
      </c>
      <c r="C31" s="4">
        <v>336</v>
      </c>
      <c r="D31" s="4">
        <v>4233</v>
      </c>
      <c r="E31" s="4">
        <v>7.9376328844790924</v>
      </c>
      <c r="F31" s="4">
        <v>293</v>
      </c>
      <c r="G31" s="4">
        <v>4418</v>
      </c>
      <c r="H31" s="4">
        <v>6.6319601629696692</v>
      </c>
      <c r="I31" s="4">
        <v>243</v>
      </c>
      <c r="J31" s="4">
        <v>4557</v>
      </c>
      <c r="K31" s="4">
        <v>5.332455562870309</v>
      </c>
      <c r="L31" s="5">
        <v>6.6340162034396899</v>
      </c>
      <c r="M31" s="5">
        <v>1.3025898777946112</v>
      </c>
    </row>
    <row r="32" spans="1:19" x14ac:dyDescent="0.25">
      <c r="A32" s="48"/>
      <c r="B32" s="3" t="s">
        <v>7</v>
      </c>
      <c r="C32" s="6"/>
      <c r="D32" s="6"/>
      <c r="E32" s="7"/>
      <c r="F32" s="7"/>
      <c r="G32" s="7"/>
      <c r="H32" s="7"/>
      <c r="I32" s="7"/>
      <c r="J32" s="7"/>
      <c r="K32" s="7"/>
      <c r="L32" s="4"/>
      <c r="M32" s="4"/>
    </row>
    <row r="33" spans="1:14" x14ac:dyDescent="0.25">
      <c r="A33" s="49"/>
      <c r="B33" s="3" t="s">
        <v>11</v>
      </c>
      <c r="C33" s="6"/>
      <c r="D33" s="6"/>
      <c r="E33" s="7"/>
      <c r="F33" s="7"/>
      <c r="G33" s="7"/>
      <c r="H33" s="7"/>
      <c r="I33" s="7"/>
      <c r="J33" s="7"/>
      <c r="K33" s="7"/>
      <c r="L33" s="4"/>
      <c r="M33" s="4"/>
      <c r="N33" t="s">
        <v>18</v>
      </c>
    </row>
    <row r="34" spans="1:14" x14ac:dyDescent="0.25">
      <c r="A34" s="47" t="s">
        <v>10</v>
      </c>
      <c r="B34" s="3">
        <v>0</v>
      </c>
      <c r="C34" s="4">
        <v>111</v>
      </c>
      <c r="D34" s="4">
        <v>4337</v>
      </c>
      <c r="E34" s="4">
        <v>2.5593728383675352</v>
      </c>
      <c r="F34" s="4">
        <v>118</v>
      </c>
      <c r="G34" s="4">
        <v>5631</v>
      </c>
      <c r="H34" s="4">
        <v>2.095542532409874</v>
      </c>
      <c r="I34" s="4">
        <v>167</v>
      </c>
      <c r="J34" s="4">
        <v>5864</v>
      </c>
      <c r="K34" s="4">
        <v>2.8478854024556615</v>
      </c>
      <c r="L34" s="5">
        <v>2.5009335910776902</v>
      </c>
      <c r="M34" s="5">
        <v>0.37956067729025256</v>
      </c>
      <c r="N34">
        <v>0.10659797666593546</v>
      </c>
    </row>
    <row r="35" spans="1:14" x14ac:dyDescent="0.25">
      <c r="A35" s="48"/>
      <c r="B35" s="3">
        <v>0.25</v>
      </c>
      <c r="C35" s="4">
        <v>4666</v>
      </c>
      <c r="D35" s="4">
        <v>7663</v>
      </c>
      <c r="E35" s="4">
        <v>60.889990865196395</v>
      </c>
      <c r="F35" s="4">
        <v>7019</v>
      </c>
      <c r="G35" s="4">
        <v>7245</v>
      </c>
      <c r="H35" s="4">
        <v>96.880607315389923</v>
      </c>
      <c r="I35" s="4">
        <v>2906</v>
      </c>
      <c r="J35" s="4">
        <v>4743</v>
      </c>
      <c r="K35" s="4">
        <v>61.269238878347046</v>
      </c>
      <c r="L35" s="5">
        <v>73.013279019644457</v>
      </c>
      <c r="M35" s="5">
        <v>20.670582411885231</v>
      </c>
      <c r="N35">
        <v>9.9863529416361826E-2</v>
      </c>
    </row>
    <row r="36" spans="1:14" x14ac:dyDescent="0.25">
      <c r="A36" s="48"/>
      <c r="B36" s="3">
        <v>1</v>
      </c>
      <c r="C36" s="4">
        <v>8237</v>
      </c>
      <c r="D36" s="4">
        <v>6861</v>
      </c>
      <c r="E36" s="4">
        <v>120.05538551231598</v>
      </c>
      <c r="F36" s="4">
        <v>8305</v>
      </c>
      <c r="G36" s="4">
        <v>7512</v>
      </c>
      <c r="H36" s="4">
        <v>110.55644302449414</v>
      </c>
      <c r="I36" s="4">
        <v>4709</v>
      </c>
      <c r="J36" s="4">
        <v>5643</v>
      </c>
      <c r="K36" s="4">
        <v>83.448520290625552</v>
      </c>
      <c r="L36" s="5">
        <v>104.68678294247856</v>
      </c>
      <c r="M36" s="5">
        <v>18.996192446081309</v>
      </c>
      <c r="N36">
        <v>3.7860254293937405E-2</v>
      </c>
    </row>
    <row r="37" spans="1:14" x14ac:dyDescent="0.25">
      <c r="A37" s="48"/>
      <c r="B37" s="3">
        <v>3</v>
      </c>
      <c r="C37" s="4">
        <v>1656</v>
      </c>
      <c r="D37" s="4">
        <v>8553</v>
      </c>
      <c r="E37" s="4">
        <v>19.361627499123117</v>
      </c>
      <c r="F37" s="4">
        <v>1133</v>
      </c>
      <c r="G37" s="4">
        <v>4594</v>
      </c>
      <c r="H37" s="4">
        <v>24.662603395733566</v>
      </c>
      <c r="I37" s="4">
        <v>1462</v>
      </c>
      <c r="J37" s="4">
        <v>8012</v>
      </c>
      <c r="K37" s="4">
        <v>18.247628557164251</v>
      </c>
      <c r="L37" s="5">
        <v>20.757286484006979</v>
      </c>
      <c r="M37" s="5">
        <v>3.4276629861225474</v>
      </c>
      <c r="N37">
        <v>1.5013933702872028E-3</v>
      </c>
    </row>
    <row r="38" spans="1:14" x14ac:dyDescent="0.25">
      <c r="A38" s="48"/>
      <c r="B38" s="3">
        <v>7</v>
      </c>
      <c r="C38" s="4">
        <v>320</v>
      </c>
      <c r="D38" s="4">
        <v>5236</v>
      </c>
      <c r="E38" s="4">
        <v>6.1115355233002298</v>
      </c>
      <c r="F38" s="4">
        <v>348</v>
      </c>
      <c r="G38" s="4">
        <v>6767</v>
      </c>
      <c r="H38" s="4">
        <v>5.1426038126200684</v>
      </c>
      <c r="I38" s="4">
        <v>538</v>
      </c>
      <c r="J38" s="4">
        <v>6942</v>
      </c>
      <c r="K38" s="4">
        <v>7.7499279746470764</v>
      </c>
      <c r="L38" s="5">
        <v>6.3346891035224582</v>
      </c>
      <c r="M38" s="5">
        <v>1.3179085559123429</v>
      </c>
      <c r="N38">
        <v>4.7703039988991371E-3</v>
      </c>
    </row>
    <row r="39" spans="1:14" x14ac:dyDescent="0.25">
      <c r="A39" s="48"/>
      <c r="B39" s="3">
        <v>14</v>
      </c>
      <c r="C39" s="4">
        <v>637</v>
      </c>
      <c r="D39" s="4">
        <v>5300</v>
      </c>
      <c r="E39" s="4">
        <v>12.018867924528303</v>
      </c>
      <c r="F39" s="4">
        <v>213</v>
      </c>
      <c r="G39" s="4">
        <v>4038</v>
      </c>
      <c r="H39" s="4">
        <v>5.2748885586924219</v>
      </c>
      <c r="I39" s="4">
        <v>923</v>
      </c>
      <c r="J39" s="4">
        <v>3978</v>
      </c>
      <c r="K39" s="4">
        <v>23.202614379084967</v>
      </c>
      <c r="L39" s="5">
        <v>13.498790287435233</v>
      </c>
      <c r="M39" s="5">
        <v>9.0550243469008063</v>
      </c>
      <c r="N39">
        <v>0.26353885160898299</v>
      </c>
    </row>
    <row r="40" spans="1:14" x14ac:dyDescent="0.25">
      <c r="A40" s="48"/>
      <c r="B40" s="3" t="s">
        <v>7</v>
      </c>
      <c r="C40" s="6"/>
      <c r="D40" s="6"/>
      <c r="E40" s="6"/>
      <c r="F40" s="4"/>
      <c r="G40" s="4"/>
      <c r="H40" s="6"/>
      <c r="I40" s="4"/>
      <c r="J40" s="4"/>
      <c r="K40" s="6"/>
      <c r="L40" s="4"/>
      <c r="M40" s="4"/>
    </row>
    <row r="41" spans="1:14" x14ac:dyDescent="0.25">
      <c r="A41" s="49"/>
      <c r="B41" s="3" t="s">
        <v>11</v>
      </c>
      <c r="C41" s="6"/>
      <c r="D41" s="6"/>
      <c r="E41" s="6"/>
      <c r="F41" s="4"/>
      <c r="G41" s="4"/>
      <c r="H41" s="6"/>
      <c r="I41" s="4"/>
      <c r="J41" s="4"/>
      <c r="K41" s="6"/>
      <c r="L41" s="4"/>
      <c r="M41" s="4"/>
    </row>
    <row r="44" spans="1:14" x14ac:dyDescent="0.25">
      <c r="A44" t="s">
        <v>128</v>
      </c>
    </row>
    <row r="45" spans="1:14" x14ac:dyDescent="0.25">
      <c r="A45" s="27" t="s">
        <v>57</v>
      </c>
      <c r="B45" s="28"/>
      <c r="C45" s="35" t="s">
        <v>58</v>
      </c>
      <c r="D45" s="36" t="s">
        <v>59</v>
      </c>
      <c r="E45" s="34" t="s">
        <v>60</v>
      </c>
      <c r="F45" s="36" t="s">
        <v>92</v>
      </c>
      <c r="G45" s="34" t="s">
        <v>11</v>
      </c>
      <c r="H45" s="29" t="s">
        <v>45</v>
      </c>
    </row>
    <row r="46" spans="1:14" x14ac:dyDescent="0.25">
      <c r="A46" s="27" t="s">
        <v>61</v>
      </c>
      <c r="B46" s="28"/>
      <c r="C46" s="42">
        <v>36.21</v>
      </c>
      <c r="D46" s="22">
        <v>0.75001949464290951</v>
      </c>
      <c r="E46" s="24">
        <v>0.75001949464290951</v>
      </c>
      <c r="F46" s="22"/>
      <c r="G46" s="24"/>
      <c r="H46" s="24"/>
    </row>
    <row r="47" spans="1:14" x14ac:dyDescent="0.25">
      <c r="A47" s="30" t="s">
        <v>61</v>
      </c>
      <c r="B47" s="31"/>
      <c r="C47" s="39">
        <v>35.479999999999997</v>
      </c>
      <c r="D47">
        <v>1.2440116532984731</v>
      </c>
      <c r="E47" s="25">
        <v>1.2440116532984731</v>
      </c>
      <c r="G47" s="25"/>
      <c r="H47" s="25"/>
      <c r="K47" t="s">
        <v>9</v>
      </c>
      <c r="M47" t="s">
        <v>10</v>
      </c>
    </row>
    <row r="48" spans="1:14" x14ac:dyDescent="0.25">
      <c r="A48" s="32" t="s">
        <v>61</v>
      </c>
      <c r="B48" s="33"/>
      <c r="C48" s="38">
        <v>35.695000000000014</v>
      </c>
      <c r="D48" s="23">
        <v>1.0717734625362836</v>
      </c>
      <c r="E48" s="26">
        <v>1.0717734625362836</v>
      </c>
      <c r="F48" s="23">
        <v>1.0219348701592221</v>
      </c>
      <c r="G48" s="26">
        <v>0.25073886250617622</v>
      </c>
      <c r="H48" s="25"/>
      <c r="J48" t="s">
        <v>83</v>
      </c>
      <c r="K48">
        <v>1.0219348701592221</v>
      </c>
      <c r="L48">
        <v>0.25073886250617622</v>
      </c>
      <c r="M48">
        <v>0.4378653623214746</v>
      </c>
      <c r="N48">
        <v>0.17167685997562795</v>
      </c>
    </row>
    <row r="49" spans="1:14" x14ac:dyDescent="0.25">
      <c r="A49" s="30" t="s">
        <v>62</v>
      </c>
      <c r="B49" s="31"/>
      <c r="C49" s="39">
        <v>42.06</v>
      </c>
      <c r="D49">
        <v>1.300310522986757E-2</v>
      </c>
      <c r="E49" s="25">
        <v>0.56515582535933462</v>
      </c>
      <c r="G49" s="25"/>
      <c r="H49" s="25"/>
      <c r="J49" t="s">
        <v>84</v>
      </c>
      <c r="K49">
        <v>1.0014458851607813</v>
      </c>
      <c r="L49">
        <v>6.5908476192658244E-2</v>
      </c>
      <c r="M49">
        <v>3.4405266363687095</v>
      </c>
      <c r="N49">
        <v>0.38098120435677063</v>
      </c>
    </row>
    <row r="50" spans="1:14" x14ac:dyDescent="0.25">
      <c r="A50" s="30" t="s">
        <v>62</v>
      </c>
      <c r="B50" s="31"/>
      <c r="C50" s="39">
        <v>43.28</v>
      </c>
      <c r="D50">
        <v>5.5820083583636455E-3</v>
      </c>
      <c r="E50" s="25">
        <v>0.24261162892748805</v>
      </c>
      <c r="G50" s="25"/>
      <c r="H50" s="25"/>
      <c r="J50" t="s">
        <v>85</v>
      </c>
      <c r="K50" t="e">
        <v>#DIV/0!</v>
      </c>
      <c r="L50" t="e">
        <v>#DIV/0!</v>
      </c>
      <c r="M50" t="e">
        <v>#DIV/0!</v>
      </c>
      <c r="N50" t="e">
        <v>#DIV/0!</v>
      </c>
    </row>
    <row r="51" spans="1:14" x14ac:dyDescent="0.25">
      <c r="A51" s="30" t="s">
        <v>62</v>
      </c>
      <c r="B51" s="31"/>
      <c r="C51" s="38">
        <v>42.219999999999985</v>
      </c>
      <c r="D51" s="23">
        <v>1.1638105180646247E-2</v>
      </c>
      <c r="E51" s="26">
        <v>0.50582863267760114</v>
      </c>
      <c r="F51" s="23">
        <v>0.4378653623214746</v>
      </c>
      <c r="G51" s="26">
        <v>0.17167685997562795</v>
      </c>
      <c r="H51" s="26">
        <v>2.9130816532868472E-2</v>
      </c>
      <c r="J51" t="s">
        <v>86</v>
      </c>
      <c r="K51">
        <v>1.0002942919045106</v>
      </c>
      <c r="L51">
        <v>3.4312400579124942E-2</v>
      </c>
      <c r="M51">
        <v>3.5308880258966022</v>
      </c>
      <c r="N51">
        <v>0.5344284686092412</v>
      </c>
    </row>
    <row r="52" spans="1:14" x14ac:dyDescent="0.25">
      <c r="A52" s="27" t="s">
        <v>81</v>
      </c>
      <c r="B52" s="28"/>
      <c r="C52" s="42">
        <v>39.299999999999997</v>
      </c>
      <c r="D52" s="24">
        <v>1.024556823032799</v>
      </c>
      <c r="E52" s="24">
        <v>1.024556823032799</v>
      </c>
      <c r="F52" s="22"/>
      <c r="G52" s="24"/>
      <c r="H52" s="24"/>
      <c r="J52" t="s">
        <v>87</v>
      </c>
      <c r="K52" t="e">
        <v>#DIV/0!</v>
      </c>
      <c r="L52" t="e">
        <v>#DIV/0!</v>
      </c>
      <c r="M52" t="e">
        <v>#DIV/0!</v>
      </c>
      <c r="N52" t="e">
        <v>#DIV/0!</v>
      </c>
    </row>
    <row r="53" spans="1:14" x14ac:dyDescent="0.25">
      <c r="A53" s="30" t="s">
        <v>81</v>
      </c>
      <c r="B53" s="31"/>
      <c r="C53" s="39">
        <v>39.369999999999997</v>
      </c>
      <c r="D53" s="25">
        <v>0.97603176077622211</v>
      </c>
      <c r="E53" s="25">
        <v>0.97603176077622211</v>
      </c>
      <c r="G53" s="25"/>
      <c r="H53" s="25"/>
      <c r="J53" t="s">
        <v>88</v>
      </c>
      <c r="K53">
        <v>1.0125953005542037</v>
      </c>
      <c r="L53">
        <v>0.19560630473165375</v>
      </c>
      <c r="M53">
        <v>11.996332627704904</v>
      </c>
      <c r="N53">
        <v>3.7085709304734333</v>
      </c>
    </row>
    <row r="54" spans="1:14" x14ac:dyDescent="0.25">
      <c r="A54" s="32" t="s">
        <v>81</v>
      </c>
      <c r="B54" s="33"/>
      <c r="C54" s="38">
        <v>39.31</v>
      </c>
      <c r="D54" s="26">
        <v>1.0002942919045106</v>
      </c>
      <c r="E54" s="26">
        <v>1.0002942919045106</v>
      </c>
      <c r="F54" s="23"/>
      <c r="G54" s="26"/>
      <c r="H54" s="25"/>
      <c r="J54" t="s">
        <v>89</v>
      </c>
      <c r="K54" t="e">
        <v>#DIV/0!</v>
      </c>
      <c r="L54" t="e">
        <v>#DIV/0!</v>
      </c>
      <c r="M54" t="e">
        <v>#DIV/0!</v>
      </c>
      <c r="N54" t="e">
        <v>#DIV/0!</v>
      </c>
    </row>
    <row r="55" spans="1:14" x14ac:dyDescent="0.25">
      <c r="A55" s="30" t="s">
        <v>82</v>
      </c>
      <c r="B55" s="31"/>
      <c r="C55" s="39">
        <v>42.81</v>
      </c>
      <c r="D55">
        <v>8.9933348750675726E-2</v>
      </c>
      <c r="E55" s="25">
        <v>3.9087860201093414</v>
      </c>
      <c r="F55" s="24"/>
      <c r="G55" s="19"/>
      <c r="H55" s="25"/>
      <c r="J55" t="s">
        <v>90</v>
      </c>
      <c r="K55">
        <v>1.0001000968826441</v>
      </c>
      <c r="L55">
        <v>1.7329763590284972E-2</v>
      </c>
      <c r="M55">
        <v>1.928448419324807</v>
      </c>
      <c r="N55">
        <v>0.39885796201892326</v>
      </c>
    </row>
    <row r="56" spans="1:14" x14ac:dyDescent="0.25">
      <c r="A56" s="30" t="s">
        <v>82</v>
      </c>
      <c r="B56" s="31"/>
      <c r="C56" s="39">
        <v>43.12</v>
      </c>
      <c r="D56">
        <v>7.2543994648982313E-2</v>
      </c>
      <c r="E56" s="25">
        <v>3.1529900316838626</v>
      </c>
      <c r="F56" s="25"/>
      <c r="G56" s="19"/>
      <c r="H56" s="25"/>
      <c r="J56" t="s">
        <v>91</v>
      </c>
      <c r="K56">
        <v>1.0084899469999444</v>
      </c>
      <c r="L56">
        <v>0.16026876988365835</v>
      </c>
      <c r="M56">
        <v>0.48718258951906607</v>
      </c>
      <c r="N56">
        <v>0.11237039525977978</v>
      </c>
    </row>
    <row r="57" spans="1:14" x14ac:dyDescent="0.25">
      <c r="A57" s="30" t="s">
        <v>82</v>
      </c>
      <c r="B57" s="31"/>
      <c r="C57" s="38">
        <v>43</v>
      </c>
      <c r="D57" s="23">
        <v>7.5381000000000004E-2</v>
      </c>
      <c r="E57" s="25">
        <v>3.2762952016689848</v>
      </c>
      <c r="F57" s="26">
        <v>3.5308880258966022</v>
      </c>
      <c r="G57">
        <v>0.5344284686092412</v>
      </c>
      <c r="H57" s="26">
        <v>4.7762429846587534E-4</v>
      </c>
    </row>
    <row r="58" spans="1:14" x14ac:dyDescent="0.25">
      <c r="A58" s="27" t="s">
        <v>65</v>
      </c>
      <c r="B58" s="28"/>
      <c r="C58" s="42">
        <v>31.05</v>
      </c>
      <c r="D58" s="22">
        <v>1.1728349492318793</v>
      </c>
      <c r="E58" s="24">
        <v>1.1728349492318793</v>
      </c>
      <c r="F58" s="22"/>
      <c r="G58" s="24"/>
      <c r="H58" s="24"/>
    </row>
    <row r="59" spans="1:14" x14ac:dyDescent="0.25">
      <c r="A59" s="30" t="s">
        <v>65</v>
      </c>
      <c r="B59" s="31"/>
      <c r="C59" s="39">
        <v>31.51</v>
      </c>
      <c r="D59">
        <v>0.85263489176795637</v>
      </c>
      <c r="E59" s="25">
        <v>0.85263489176795637</v>
      </c>
      <c r="G59" s="25"/>
      <c r="H59" s="25"/>
    </row>
    <row r="60" spans="1:14" x14ac:dyDescent="0.25">
      <c r="A60" s="32" t="s">
        <v>65</v>
      </c>
      <c r="B60" s="33"/>
      <c r="C60" s="38">
        <v>31.280000000000005</v>
      </c>
      <c r="D60" s="23">
        <v>1.0002355999999999</v>
      </c>
      <c r="E60" s="26">
        <v>1.0002355999999999</v>
      </c>
      <c r="F60" s="23">
        <v>1.0084899469999444</v>
      </c>
      <c r="G60" s="26">
        <v>0.16026876988365835</v>
      </c>
      <c r="H60" s="25"/>
    </row>
    <row r="61" spans="1:14" x14ac:dyDescent="0.25">
      <c r="A61" s="30" t="s">
        <v>66</v>
      </c>
      <c r="B61" s="31"/>
      <c r="C61" s="39">
        <v>37.450000000000003</v>
      </c>
      <c r="D61">
        <v>1.388816689322765E-2</v>
      </c>
      <c r="E61" s="25">
        <v>0.60362338722303766</v>
      </c>
      <c r="G61" s="25"/>
      <c r="H61" s="25"/>
    </row>
    <row r="62" spans="1:14" x14ac:dyDescent="0.25">
      <c r="A62" s="30" t="s">
        <v>66</v>
      </c>
      <c r="B62" s="31"/>
      <c r="C62" s="39">
        <v>38.119999999999997</v>
      </c>
      <c r="D62">
        <v>8.7288057661892432E-3</v>
      </c>
      <c r="E62" s="25">
        <v>0.37938133545676472</v>
      </c>
      <c r="G62" s="25"/>
      <c r="H62" s="25"/>
    </row>
    <row r="63" spans="1:14" x14ac:dyDescent="0.25">
      <c r="A63" s="30" t="s">
        <v>66</v>
      </c>
      <c r="B63" s="31"/>
      <c r="C63" s="38">
        <v>37.784999999999989</v>
      </c>
      <c r="D63" s="23">
        <v>1.1010318399547121E-2</v>
      </c>
      <c r="E63" s="26">
        <v>0.47854304587739571</v>
      </c>
      <c r="F63" s="23">
        <v>0.48718258951906607</v>
      </c>
      <c r="G63" s="26">
        <v>0.11237039525977978</v>
      </c>
      <c r="H63" s="26">
        <v>9.9334598133074686E-3</v>
      </c>
    </row>
    <row r="64" spans="1:14" x14ac:dyDescent="0.25">
      <c r="A64" s="27" t="s">
        <v>67</v>
      </c>
      <c r="B64" s="28"/>
      <c r="C64" s="42">
        <v>48.3</v>
      </c>
      <c r="D64" s="22">
        <v>1.2141948843950479</v>
      </c>
      <c r="E64" s="24">
        <v>1.2141948843950479</v>
      </c>
      <c r="F64" s="22"/>
      <c r="G64" s="24"/>
      <c r="H64" s="24"/>
    </row>
    <row r="65" spans="1:8" x14ac:dyDescent="0.25">
      <c r="A65" s="30" t="s">
        <v>67</v>
      </c>
      <c r="B65" s="31"/>
      <c r="C65" s="39">
        <v>48.86</v>
      </c>
      <c r="D65">
        <v>0.82359101726757244</v>
      </c>
      <c r="E65" s="25">
        <v>0.82359101726757244</v>
      </c>
      <c r="G65" s="25"/>
      <c r="H65" s="25"/>
    </row>
    <row r="66" spans="1:8" x14ac:dyDescent="0.25">
      <c r="A66" s="32" t="s">
        <v>67</v>
      </c>
      <c r="B66" s="33"/>
      <c r="C66" s="38">
        <v>48.580000000000013</v>
      </c>
      <c r="D66" s="23">
        <v>1.0024356999999999</v>
      </c>
      <c r="E66" s="26">
        <v>1.0024356999999999</v>
      </c>
      <c r="F66" s="23">
        <v>1.0125953005542037</v>
      </c>
      <c r="G66" s="26">
        <v>0.19560630473165375</v>
      </c>
      <c r="H66" s="25"/>
    </row>
    <row r="67" spans="1:8" x14ac:dyDescent="0.25">
      <c r="A67" s="30" t="s">
        <v>68</v>
      </c>
      <c r="B67" s="31"/>
      <c r="C67" s="39">
        <v>50</v>
      </c>
      <c r="D67">
        <v>0.37371231215873418</v>
      </c>
      <c r="E67" s="25">
        <v>16.242711759333023</v>
      </c>
      <c r="G67" s="25"/>
      <c r="H67" s="25"/>
    </row>
    <row r="68" spans="1:8" x14ac:dyDescent="0.25">
      <c r="A68" s="30" t="s">
        <v>68</v>
      </c>
      <c r="B68" s="31"/>
      <c r="C68" s="39">
        <v>50.79</v>
      </c>
      <c r="D68">
        <v>0.21613430782696619</v>
      </c>
      <c r="E68" s="25">
        <v>9.3938763832999896</v>
      </c>
      <c r="G68" s="25"/>
      <c r="H68" s="25"/>
    </row>
    <row r="69" spans="1:8" x14ac:dyDescent="0.25">
      <c r="A69" s="30" t="s">
        <v>68</v>
      </c>
      <c r="B69" s="31"/>
      <c r="C69" s="38">
        <v>50.695</v>
      </c>
      <c r="D69" s="23">
        <v>0.22420424330900299</v>
      </c>
      <c r="E69" s="26">
        <v>10.352409740481701</v>
      </c>
      <c r="F69" s="23">
        <v>11.996332627704904</v>
      </c>
      <c r="G69" s="26">
        <v>3.7085709304734333</v>
      </c>
      <c r="H69" s="26">
        <v>4.219301904858727E-3</v>
      </c>
    </row>
    <row r="70" spans="1:8" x14ac:dyDescent="0.25">
      <c r="A70" s="27" t="s">
        <v>69</v>
      </c>
      <c r="B70" s="28"/>
      <c r="C70" s="42" t="s">
        <v>64</v>
      </c>
      <c r="D70" s="22" t="e">
        <v>#DIV/0!</v>
      </c>
      <c r="E70" s="24" t="e">
        <v>#DIV/0!</v>
      </c>
      <c r="F70" s="22"/>
      <c r="G70" s="24"/>
      <c r="H70" s="24"/>
    </row>
    <row r="71" spans="1:8" x14ac:dyDescent="0.25">
      <c r="A71" s="30" t="s">
        <v>69</v>
      </c>
      <c r="B71" s="31"/>
      <c r="C71" s="39" t="s">
        <v>64</v>
      </c>
      <c r="D71" t="e">
        <v>#DIV/0!</v>
      </c>
      <c r="E71" s="25" t="e">
        <v>#DIV/0!</v>
      </c>
      <c r="G71" s="25"/>
      <c r="H71" s="25"/>
    </row>
    <row r="72" spans="1:8" x14ac:dyDescent="0.25">
      <c r="A72" s="32" t="s">
        <v>69</v>
      </c>
      <c r="B72" s="33"/>
      <c r="C72" s="38" t="s">
        <v>64</v>
      </c>
      <c r="D72" s="23" t="e">
        <v>#DIV/0!</v>
      </c>
      <c r="E72" s="26" t="e">
        <v>#DIV/0!</v>
      </c>
      <c r="F72" s="23" t="e">
        <v>#DIV/0!</v>
      </c>
      <c r="G72" s="26" t="e">
        <v>#DIV/0!</v>
      </c>
      <c r="H72" s="25"/>
    </row>
    <row r="73" spans="1:8" x14ac:dyDescent="0.25">
      <c r="A73" s="30" t="s">
        <v>70</v>
      </c>
      <c r="B73" s="31"/>
      <c r="C73" s="39" t="s">
        <v>64</v>
      </c>
      <c r="D73" t="e">
        <v>#DIV/0!</v>
      </c>
      <c r="E73" s="25" t="e">
        <v>#DIV/0!</v>
      </c>
      <c r="G73" s="25"/>
      <c r="H73" s="25"/>
    </row>
    <row r="74" spans="1:8" x14ac:dyDescent="0.25">
      <c r="A74" s="30" t="s">
        <v>70</v>
      </c>
      <c r="B74" s="31"/>
      <c r="C74" s="39" t="s">
        <v>64</v>
      </c>
      <c r="D74" t="e">
        <v>#DIV/0!</v>
      </c>
      <c r="E74" s="25" t="e">
        <v>#DIV/0!</v>
      </c>
      <c r="G74" s="25"/>
      <c r="H74" s="25"/>
    </row>
    <row r="75" spans="1:8" x14ac:dyDescent="0.25">
      <c r="A75" s="30" t="s">
        <v>70</v>
      </c>
      <c r="B75" s="31"/>
      <c r="C75" s="38" t="s">
        <v>64</v>
      </c>
      <c r="D75" s="23" t="e">
        <v>#DIV/0!</v>
      </c>
      <c r="E75" s="26" t="e">
        <v>#DIV/0!</v>
      </c>
      <c r="F75" s="23" t="e">
        <v>#DIV/0!</v>
      </c>
      <c r="G75" s="26" t="e">
        <v>#DIV/0!</v>
      </c>
      <c r="H75" s="26" t="e">
        <v>#DIV/0!</v>
      </c>
    </row>
    <row r="76" spans="1:8" x14ac:dyDescent="0.25">
      <c r="A76" s="27" t="s">
        <v>71</v>
      </c>
      <c r="B76" s="28"/>
      <c r="C76" s="42">
        <v>33.28</v>
      </c>
      <c r="D76" s="22">
        <v>0.936272247434493</v>
      </c>
      <c r="E76" s="24">
        <v>0.936272247434493</v>
      </c>
      <c r="F76" s="22"/>
      <c r="G76" s="24"/>
      <c r="H76" s="24"/>
    </row>
    <row r="77" spans="1:8" x14ac:dyDescent="0.25">
      <c r="A77" s="30" t="s">
        <v>71</v>
      </c>
      <c r="B77" s="31"/>
      <c r="C77" s="39">
        <v>33.090000000000003</v>
      </c>
      <c r="D77">
        <v>1.0680654080478507</v>
      </c>
      <c r="E77" s="25">
        <v>1.0680654080478507</v>
      </c>
      <c r="G77" s="25"/>
      <c r="H77" s="25"/>
    </row>
    <row r="78" spans="1:8" x14ac:dyDescent="0.25">
      <c r="A78" s="32" t="s">
        <v>71</v>
      </c>
      <c r="B78" s="33"/>
      <c r="C78" s="38">
        <v>33.185000000000002</v>
      </c>
      <c r="D78" s="23">
        <v>1.03759</v>
      </c>
      <c r="E78" s="26">
        <v>1.03759</v>
      </c>
      <c r="F78" s="23">
        <v>1.0014458851607813</v>
      </c>
      <c r="G78" s="26">
        <v>6.5908476192658244E-2</v>
      </c>
      <c r="H78" s="25"/>
    </row>
    <row r="79" spans="1:8" x14ac:dyDescent="0.25">
      <c r="A79" s="30" t="s">
        <v>72</v>
      </c>
      <c r="B79" s="31"/>
      <c r="C79" s="39">
        <v>36.69</v>
      </c>
      <c r="D79">
        <v>8.8082547196376496E-2</v>
      </c>
      <c r="E79" s="25">
        <v>3.8283443670191453</v>
      </c>
      <c r="G79" s="25"/>
      <c r="H79" s="25"/>
    </row>
    <row r="80" spans="1:8" x14ac:dyDescent="0.25">
      <c r="A80" s="30" t="s">
        <v>72</v>
      </c>
      <c r="B80" s="31"/>
      <c r="C80" s="39">
        <v>37.01</v>
      </c>
      <c r="D80">
        <v>7.0560275300383418E-2</v>
      </c>
      <c r="E80" s="25">
        <v>3.0667713534589454</v>
      </c>
      <c r="G80" s="25"/>
      <c r="H80" s="25"/>
    </row>
    <row r="81" spans="1:8" x14ac:dyDescent="0.25">
      <c r="A81" s="30" t="s">
        <v>72</v>
      </c>
      <c r="B81" s="31"/>
      <c r="C81" s="38">
        <v>36.849999999999987</v>
      </c>
      <c r="D81" s="23">
        <v>7.8836088051953912E-2</v>
      </c>
      <c r="E81" s="26">
        <v>3.4264641886280387</v>
      </c>
      <c r="F81" s="23">
        <v>3.4405266363687095</v>
      </c>
      <c r="G81" s="26">
        <v>0.38098120435677063</v>
      </c>
      <c r="H81" s="26">
        <v>3.9843880309280822E-4</v>
      </c>
    </row>
    <row r="82" spans="1:8" x14ac:dyDescent="0.25">
      <c r="A82" s="27" t="s">
        <v>73</v>
      </c>
      <c r="B82" s="28"/>
      <c r="C82" s="42" t="s">
        <v>64</v>
      </c>
      <c r="D82" s="22" t="e">
        <v>#DIV/0!</v>
      </c>
      <c r="E82" s="24" t="e">
        <v>#DIV/0!</v>
      </c>
      <c r="F82" s="22"/>
      <c r="G82" s="24"/>
      <c r="H82" s="24"/>
    </row>
    <row r="83" spans="1:8" x14ac:dyDescent="0.25">
      <c r="A83" s="30" t="s">
        <v>73</v>
      </c>
      <c r="B83" s="31"/>
      <c r="C83" s="39" t="s">
        <v>64</v>
      </c>
      <c r="D83" t="e">
        <v>#DIV/0!</v>
      </c>
      <c r="E83" s="25" t="e">
        <v>#DIV/0!</v>
      </c>
      <c r="G83" s="25"/>
      <c r="H83" s="25"/>
    </row>
    <row r="84" spans="1:8" x14ac:dyDescent="0.25">
      <c r="A84" s="32" t="s">
        <v>73</v>
      </c>
      <c r="B84" s="33"/>
      <c r="C84" s="38" t="s">
        <v>64</v>
      </c>
      <c r="D84" s="23" t="e">
        <v>#DIV/0!</v>
      </c>
      <c r="E84" s="26" t="e">
        <v>#DIV/0!</v>
      </c>
      <c r="F84" s="23" t="e">
        <v>#DIV/0!</v>
      </c>
      <c r="G84" s="26" t="e">
        <v>#DIV/0!</v>
      </c>
      <c r="H84" s="25"/>
    </row>
    <row r="85" spans="1:8" x14ac:dyDescent="0.25">
      <c r="A85" s="30" t="s">
        <v>74</v>
      </c>
      <c r="B85" s="31"/>
      <c r="C85" s="39" t="s">
        <v>64</v>
      </c>
      <c r="D85" t="e">
        <v>#DIV/0!</v>
      </c>
      <c r="E85" s="25" t="e">
        <v>#DIV/0!</v>
      </c>
      <c r="G85" s="25"/>
      <c r="H85" s="25"/>
    </row>
    <row r="86" spans="1:8" x14ac:dyDescent="0.25">
      <c r="A86" s="30" t="s">
        <v>74</v>
      </c>
      <c r="B86" s="31"/>
      <c r="C86" s="39" t="s">
        <v>64</v>
      </c>
      <c r="D86" t="e">
        <v>#DIV/0!</v>
      </c>
      <c r="E86" s="25" t="e">
        <v>#DIV/0!</v>
      </c>
      <c r="G86" s="25"/>
      <c r="H86" s="25"/>
    </row>
    <row r="87" spans="1:8" x14ac:dyDescent="0.25">
      <c r="A87" s="30" t="s">
        <v>74</v>
      </c>
      <c r="B87" s="31"/>
      <c r="C87" s="38" t="s">
        <v>64</v>
      </c>
      <c r="D87" s="23" t="e">
        <v>#DIV/0!</v>
      </c>
      <c r="E87" s="26" t="e">
        <v>#DIV/0!</v>
      </c>
      <c r="F87" s="23" t="e">
        <v>#DIV/0!</v>
      </c>
      <c r="G87" s="26" t="e">
        <v>#DIV/0!</v>
      </c>
      <c r="H87" s="26" t="e">
        <v>#DIV/0!</v>
      </c>
    </row>
    <row r="88" spans="1:8" x14ac:dyDescent="0.25">
      <c r="A88" s="27" t="s">
        <v>75</v>
      </c>
      <c r="B88" s="28"/>
      <c r="C88" s="42" t="s">
        <v>64</v>
      </c>
      <c r="D88" s="22" t="e">
        <v>#DIV/0!</v>
      </c>
      <c r="E88" s="24" t="e">
        <v>#DIV/0!</v>
      </c>
      <c r="F88" s="22"/>
      <c r="G88" s="24"/>
      <c r="H88" s="24"/>
    </row>
    <row r="89" spans="1:8" x14ac:dyDescent="0.25">
      <c r="A89" s="30" t="s">
        <v>75</v>
      </c>
      <c r="B89" s="31"/>
      <c r="C89" s="39" t="s">
        <v>64</v>
      </c>
      <c r="D89" t="e">
        <v>#DIV/0!</v>
      </c>
      <c r="E89" s="25" t="e">
        <v>#DIV/0!</v>
      </c>
      <c r="G89" s="25"/>
      <c r="H89" s="25"/>
    </row>
    <row r="90" spans="1:8" x14ac:dyDescent="0.25">
      <c r="A90" s="32" t="s">
        <v>75</v>
      </c>
      <c r="B90" s="33"/>
      <c r="C90" s="38" t="s">
        <v>64</v>
      </c>
      <c r="D90" s="23" t="e">
        <v>#DIV/0!</v>
      </c>
      <c r="E90" s="26" t="e">
        <v>#DIV/0!</v>
      </c>
      <c r="F90" s="23" t="e">
        <v>#VALUE!</v>
      </c>
      <c r="G90" s="26" t="e">
        <v>#VALUE!</v>
      </c>
      <c r="H90" s="25"/>
    </row>
    <row r="91" spans="1:8" x14ac:dyDescent="0.25">
      <c r="A91" s="30" t="s">
        <v>76</v>
      </c>
      <c r="B91" s="31"/>
      <c r="C91" s="39" t="s">
        <v>64</v>
      </c>
      <c r="D91" t="e">
        <v>#DIV/0!</v>
      </c>
      <c r="E91" s="25" t="e">
        <v>#DIV/0!</v>
      </c>
      <c r="G91" s="25"/>
      <c r="H91" s="25"/>
    </row>
    <row r="92" spans="1:8" x14ac:dyDescent="0.25">
      <c r="A92" s="30" t="s">
        <v>76</v>
      </c>
      <c r="B92" s="31"/>
      <c r="C92" s="39" t="s">
        <v>64</v>
      </c>
      <c r="D92" t="e">
        <v>#DIV/0!</v>
      </c>
      <c r="E92" s="25" t="e">
        <v>#DIV/0!</v>
      </c>
      <c r="G92" s="25"/>
      <c r="H92" s="25"/>
    </row>
    <row r="93" spans="1:8" x14ac:dyDescent="0.25">
      <c r="A93" s="30" t="s">
        <v>76</v>
      </c>
      <c r="B93" s="31"/>
      <c r="C93" s="38" t="s">
        <v>64</v>
      </c>
      <c r="D93" s="23" t="e">
        <v>#DIV/0!</v>
      </c>
      <c r="E93" s="26" t="e">
        <v>#DIV/0!</v>
      </c>
      <c r="F93" s="23" t="e">
        <v>#VALUE!</v>
      </c>
      <c r="G93" s="26" t="e">
        <v>#VALUE!</v>
      </c>
      <c r="H93" s="26" t="e">
        <v>#VALUE!</v>
      </c>
    </row>
    <row r="94" spans="1:8" x14ac:dyDescent="0.25">
      <c r="A94" s="27" t="s">
        <v>77</v>
      </c>
      <c r="B94" s="28"/>
      <c r="C94" s="42">
        <v>39.409999999999997</v>
      </c>
      <c r="D94" s="22">
        <v>0.98282059854525206</v>
      </c>
      <c r="E94" s="24">
        <v>0.98282059854525206</v>
      </c>
      <c r="F94" s="22"/>
      <c r="G94" s="24"/>
      <c r="H94" s="24"/>
    </row>
    <row r="95" spans="1:8" x14ac:dyDescent="0.25">
      <c r="A95" s="30" t="s">
        <v>77</v>
      </c>
      <c r="B95" s="31"/>
      <c r="C95" s="39">
        <v>39.36</v>
      </c>
      <c r="D95">
        <v>1.0174796921026854</v>
      </c>
      <c r="E95" s="25">
        <v>1.0174796921026854</v>
      </c>
      <c r="G95" s="25"/>
      <c r="H95" s="25"/>
    </row>
    <row r="96" spans="1:8" x14ac:dyDescent="0.25">
      <c r="A96" s="32" t="s">
        <v>77</v>
      </c>
      <c r="B96" s="33"/>
      <c r="C96" s="38">
        <v>39.385000000000005</v>
      </c>
      <c r="D96" s="23">
        <v>1.02386</v>
      </c>
      <c r="E96" s="26">
        <v>1.02386</v>
      </c>
      <c r="F96" s="23">
        <v>1.0001000968826441</v>
      </c>
      <c r="G96" s="26">
        <v>1.7329763590284972E-2</v>
      </c>
      <c r="H96" s="25"/>
    </row>
    <row r="97" spans="1:8" x14ac:dyDescent="0.25">
      <c r="A97" s="30" t="s">
        <v>78</v>
      </c>
      <c r="B97" s="31"/>
      <c r="C97" s="39">
        <v>43.6</v>
      </c>
      <c r="D97">
        <v>5.3846634982000957E-2</v>
      </c>
      <c r="E97" s="25">
        <v>2.3403440099965644</v>
      </c>
      <c r="G97" s="25"/>
      <c r="H97" s="25"/>
    </row>
    <row r="98" spans="1:8" x14ac:dyDescent="0.25">
      <c r="A98" s="30" t="s">
        <v>78</v>
      </c>
      <c r="B98" s="31"/>
      <c r="C98" s="39">
        <v>44.2</v>
      </c>
      <c r="D98">
        <v>3.5525530413625328E-2</v>
      </c>
      <c r="E98" s="25">
        <v>1.5440512175602106</v>
      </c>
      <c r="G98" s="25"/>
      <c r="H98" s="25"/>
    </row>
    <row r="99" spans="1:8" x14ac:dyDescent="0.25">
      <c r="A99" s="30" t="s">
        <v>78</v>
      </c>
      <c r="B99" s="31"/>
      <c r="C99" s="38">
        <v>43.90000000000002</v>
      </c>
      <c r="D99" s="23">
        <v>4.373705829984921E-2</v>
      </c>
      <c r="E99" s="26">
        <v>1.9009500304176463</v>
      </c>
      <c r="F99" s="23">
        <v>1.928448419324807</v>
      </c>
      <c r="G99" s="26">
        <v>0.39885796201892326</v>
      </c>
      <c r="H99" s="26">
        <v>1.5765162278874194E-2</v>
      </c>
    </row>
    <row r="100" spans="1:8" x14ac:dyDescent="0.25">
      <c r="A100" s="27" t="s">
        <v>79</v>
      </c>
      <c r="B100" s="28"/>
      <c r="C100" s="42">
        <v>26.06</v>
      </c>
      <c r="D100" s="22">
        <v>1.1769067372187698</v>
      </c>
      <c r="E100" s="24">
        <v>1.1769067372187698</v>
      </c>
      <c r="F100" s="22"/>
      <c r="G100" s="24"/>
      <c r="H100" s="24"/>
    </row>
    <row r="101" spans="1:8" x14ac:dyDescent="0.25">
      <c r="A101" s="30" t="s">
        <v>79</v>
      </c>
      <c r="B101" s="31"/>
      <c r="C101" s="39">
        <v>26.53</v>
      </c>
      <c r="D101">
        <v>0.84968499913865059</v>
      </c>
      <c r="E101" s="25">
        <v>0.84968499913865059</v>
      </c>
      <c r="G101" s="25"/>
      <c r="H101" s="25"/>
    </row>
    <row r="102" spans="1:8" x14ac:dyDescent="0.25">
      <c r="A102" s="32" t="s">
        <v>79</v>
      </c>
      <c r="B102" s="33"/>
      <c r="C102" s="38">
        <v>26.295000000000002</v>
      </c>
      <c r="D102" s="23">
        <v>1</v>
      </c>
      <c r="E102" s="26">
        <v>1</v>
      </c>
      <c r="F102" s="23">
        <v>1.0088639121191401</v>
      </c>
      <c r="G102" s="26">
        <v>0.16379085191666104</v>
      </c>
      <c r="H102" s="25"/>
    </row>
    <row r="103" spans="1:8" x14ac:dyDescent="0.25">
      <c r="A103" s="30" t="s">
        <v>80</v>
      </c>
      <c r="B103" s="31"/>
      <c r="C103" s="39">
        <v>31.5</v>
      </c>
      <c r="D103">
        <v>2.7110583973502158E-2</v>
      </c>
      <c r="E103" s="25">
        <v>1.1783111949540228</v>
      </c>
      <c r="G103" s="25"/>
      <c r="H103" s="25"/>
    </row>
    <row r="104" spans="1:8" x14ac:dyDescent="0.25">
      <c r="A104" s="30" t="s">
        <v>80</v>
      </c>
      <c r="B104" s="31"/>
      <c r="C104" s="39">
        <v>32.020000000000003</v>
      </c>
      <c r="D104">
        <v>1.8906157644051434E-2</v>
      </c>
      <c r="E104" s="25">
        <v>0.82172103807594898</v>
      </c>
      <c r="G104" s="25"/>
      <c r="H104" s="25"/>
    </row>
    <row r="105" spans="1:8" x14ac:dyDescent="0.25">
      <c r="A105" s="32" t="s">
        <v>80</v>
      </c>
      <c r="B105" s="33"/>
      <c r="C105" s="38">
        <v>31.759999999999998</v>
      </c>
      <c r="D105" s="23">
        <v>2.2639721164920041E-2</v>
      </c>
      <c r="E105" s="26">
        <v>0.98399344423331192</v>
      </c>
      <c r="F105" s="23">
        <v>0.99467522575442791</v>
      </c>
      <c r="G105" s="26">
        <v>0.17853489949567591</v>
      </c>
      <c r="H105" s="26">
        <v>0.92408847884479717</v>
      </c>
    </row>
    <row r="106" spans="1:8" x14ac:dyDescent="0.25">
      <c r="A106" t="s">
        <v>162</v>
      </c>
    </row>
  </sheetData>
  <mergeCells count="14">
    <mergeCell ref="A26:A33"/>
    <mergeCell ref="A34:A41"/>
    <mergeCell ref="A12:A19"/>
    <mergeCell ref="A24:A25"/>
    <mergeCell ref="B24:B25"/>
    <mergeCell ref="C24:E24"/>
    <mergeCell ref="F24:H24"/>
    <mergeCell ref="I24:K24"/>
    <mergeCell ref="A2:A3"/>
    <mergeCell ref="B2:B3"/>
    <mergeCell ref="C2:E2"/>
    <mergeCell ref="F2:H2"/>
    <mergeCell ref="I2:K2"/>
    <mergeCell ref="A4:A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C781E-9951-466B-A0F9-F7B71AA6080C}">
  <dimension ref="A1:S65"/>
  <sheetViews>
    <sheetView topLeftCell="A13" workbookViewId="0">
      <selection activeCell="L48" sqref="L48"/>
    </sheetView>
  </sheetViews>
  <sheetFormatPr defaultRowHeight="15" x14ac:dyDescent="0.25"/>
  <sheetData>
    <row r="1" spans="1:19" x14ac:dyDescent="0.25">
      <c r="A1" t="s">
        <v>47</v>
      </c>
    </row>
    <row r="2" spans="1:19" x14ac:dyDescent="0.25">
      <c r="A2" s="45" t="s">
        <v>13</v>
      </c>
      <c r="B2" s="45" t="s">
        <v>14</v>
      </c>
      <c r="C2" s="46">
        <v>1</v>
      </c>
      <c r="D2" s="46"/>
      <c r="E2" s="46"/>
      <c r="F2" s="46">
        <v>2</v>
      </c>
      <c r="G2" s="46"/>
      <c r="H2" s="46"/>
      <c r="I2" s="46">
        <v>3</v>
      </c>
      <c r="J2" s="46"/>
      <c r="K2" s="46"/>
      <c r="L2" s="3" t="s">
        <v>92</v>
      </c>
      <c r="M2" s="3" t="s">
        <v>11</v>
      </c>
      <c r="P2" t="s">
        <v>16</v>
      </c>
      <c r="R2" t="s">
        <v>17</v>
      </c>
    </row>
    <row r="3" spans="1:19" x14ac:dyDescent="0.25">
      <c r="A3" s="45"/>
      <c r="B3" s="45"/>
      <c r="C3" s="3" t="s">
        <v>26</v>
      </c>
      <c r="D3" s="3" t="s">
        <v>21</v>
      </c>
      <c r="E3" s="3" t="s">
        <v>6</v>
      </c>
      <c r="F3" s="3" t="s">
        <v>26</v>
      </c>
      <c r="G3" s="3" t="s">
        <v>21</v>
      </c>
      <c r="H3" s="3" t="s">
        <v>6</v>
      </c>
      <c r="I3" s="3" t="s">
        <v>26</v>
      </c>
      <c r="J3" s="3" t="s">
        <v>21</v>
      </c>
      <c r="K3" s="3" t="s">
        <v>6</v>
      </c>
      <c r="L3" s="3" t="s">
        <v>6</v>
      </c>
      <c r="M3" s="3" t="s">
        <v>6</v>
      </c>
      <c r="O3">
        <v>0</v>
      </c>
      <c r="P3">
        <v>3.8929760333763759</v>
      </c>
      <c r="Q3">
        <v>0.75219978229839202</v>
      </c>
      <c r="R3">
        <v>5.2951402854903105</v>
      </c>
      <c r="S3">
        <v>0.72322354372211006</v>
      </c>
    </row>
    <row r="4" spans="1:19" x14ac:dyDescent="0.25">
      <c r="A4" s="47" t="s">
        <v>9</v>
      </c>
      <c r="B4" s="3">
        <v>0</v>
      </c>
      <c r="C4" s="4">
        <v>241</v>
      </c>
      <c r="D4" s="4">
        <v>5657</v>
      </c>
      <c r="E4" s="4">
        <v>4.2602085911260383</v>
      </c>
      <c r="F4" s="4">
        <v>141</v>
      </c>
      <c r="G4" s="4">
        <v>4657</v>
      </c>
      <c r="H4" s="4">
        <v>3.0277002362035645</v>
      </c>
      <c r="I4" s="4">
        <v>221</v>
      </c>
      <c r="J4" s="4">
        <v>5033</v>
      </c>
      <c r="K4" s="4">
        <v>4.3910192727995234</v>
      </c>
      <c r="L4" s="5">
        <v>3.8929760333763759</v>
      </c>
      <c r="M4" s="5">
        <v>0.75219978229839202</v>
      </c>
      <c r="O4">
        <v>0.25</v>
      </c>
      <c r="P4">
        <v>245.07610841571966</v>
      </c>
      <c r="Q4">
        <v>35.870273288666958</v>
      </c>
      <c r="R4">
        <v>179.69481071437852</v>
      </c>
      <c r="S4">
        <v>27.856208547157518</v>
      </c>
    </row>
    <row r="5" spans="1:19" x14ac:dyDescent="0.25">
      <c r="A5" s="48"/>
      <c r="B5" s="3">
        <v>0.25</v>
      </c>
      <c r="C5" s="4">
        <v>5764</v>
      </c>
      <c r="D5" s="4">
        <v>2081</v>
      </c>
      <c r="E5" s="4">
        <v>276.98222008649685</v>
      </c>
      <c r="F5" s="4">
        <v>7764</v>
      </c>
      <c r="G5" s="4">
        <v>3081</v>
      </c>
      <c r="H5" s="4">
        <v>251.9961051606621</v>
      </c>
      <c r="I5" s="4">
        <v>6006</v>
      </c>
      <c r="J5" s="4">
        <v>2912</v>
      </c>
      <c r="K5" s="4">
        <v>206.25</v>
      </c>
      <c r="L5" s="5">
        <v>245.07610841571966</v>
      </c>
      <c r="M5" s="5">
        <v>35.870273288666958</v>
      </c>
      <c r="O5">
        <v>1</v>
      </c>
      <c r="P5">
        <v>107.83657287958606</v>
      </c>
      <c r="Q5">
        <v>7.1378984508868202</v>
      </c>
      <c r="R5">
        <v>181.4270293315561</v>
      </c>
      <c r="S5">
        <v>42.573287739165302</v>
      </c>
    </row>
    <row r="6" spans="1:19" x14ac:dyDescent="0.25">
      <c r="A6" s="48"/>
      <c r="B6" s="3">
        <v>1</v>
      </c>
      <c r="C6" s="4">
        <v>4050</v>
      </c>
      <c r="D6" s="4">
        <v>3861</v>
      </c>
      <c r="E6" s="4">
        <v>104.89510489510489</v>
      </c>
      <c r="F6" s="4">
        <v>3550</v>
      </c>
      <c r="G6" s="4">
        <v>3061</v>
      </c>
      <c r="H6" s="4">
        <v>115.97517151257759</v>
      </c>
      <c r="I6" s="4">
        <v>4122</v>
      </c>
      <c r="J6" s="4">
        <v>4016</v>
      </c>
      <c r="K6" s="4">
        <v>102.63944223107571</v>
      </c>
      <c r="L6" s="5">
        <v>107.83657287958606</v>
      </c>
      <c r="M6" s="5">
        <v>7.1378984508868202</v>
      </c>
      <c r="O6">
        <v>3</v>
      </c>
      <c r="P6">
        <v>37.195559028146739</v>
      </c>
      <c r="Q6">
        <v>22.135897356552764</v>
      </c>
      <c r="R6">
        <v>120.64977268268751</v>
      </c>
      <c r="S6">
        <v>6.1915498474175372</v>
      </c>
    </row>
    <row r="7" spans="1:19" x14ac:dyDescent="0.25">
      <c r="A7" s="48"/>
      <c r="B7" s="3">
        <v>3</v>
      </c>
      <c r="C7" s="4">
        <v>1654</v>
      </c>
      <c r="D7" s="4">
        <v>2929</v>
      </c>
      <c r="E7" s="4">
        <v>56.46978490952543</v>
      </c>
      <c r="F7" s="4">
        <v>1654</v>
      </c>
      <c r="G7" s="4">
        <v>3929</v>
      </c>
      <c r="H7" s="4">
        <v>42.097225757190124</v>
      </c>
      <c r="I7" s="4">
        <v>523</v>
      </c>
      <c r="J7" s="4">
        <v>4017</v>
      </c>
      <c r="K7" s="4">
        <v>13.01966641772467</v>
      </c>
      <c r="L7" s="5">
        <v>37.195559028146739</v>
      </c>
      <c r="M7" s="5">
        <v>22.135897356552764</v>
      </c>
      <c r="O7">
        <v>7</v>
      </c>
      <c r="P7">
        <v>10.056248515332724</v>
      </c>
      <c r="Q7">
        <v>1.1600761884780291</v>
      </c>
      <c r="R7">
        <v>6.7088172022981496</v>
      </c>
      <c r="S7">
        <v>1.6578042944061879</v>
      </c>
    </row>
    <row r="8" spans="1:19" x14ac:dyDescent="0.25">
      <c r="A8" s="48"/>
      <c r="B8" s="3">
        <v>7</v>
      </c>
      <c r="C8" s="4">
        <v>583</v>
      </c>
      <c r="D8" s="4">
        <v>6659</v>
      </c>
      <c r="E8" s="4">
        <v>8.7550683285778632</v>
      </c>
      <c r="F8" s="4">
        <v>683</v>
      </c>
      <c r="G8" s="4">
        <v>6219</v>
      </c>
      <c r="H8" s="4">
        <v>10.982473066409391</v>
      </c>
      <c r="I8" s="4">
        <v>583</v>
      </c>
      <c r="J8" s="4">
        <v>5589</v>
      </c>
      <c r="K8" s="4">
        <v>10.431204151010915</v>
      </c>
      <c r="L8" s="5">
        <v>10.056248515332724</v>
      </c>
      <c r="M8" s="5">
        <v>1.1600761884780291</v>
      </c>
      <c r="O8">
        <v>14</v>
      </c>
      <c r="P8">
        <v>4.3966889891288741</v>
      </c>
      <c r="Q8">
        <v>1.6462597754949861</v>
      </c>
      <c r="R8">
        <v>4.4620756910112398</v>
      </c>
      <c r="S8">
        <v>0.48849988689842516</v>
      </c>
    </row>
    <row r="9" spans="1:19" x14ac:dyDescent="0.25">
      <c r="A9" s="48"/>
      <c r="B9" s="3">
        <v>14</v>
      </c>
      <c r="C9" s="4">
        <v>206</v>
      </c>
      <c r="D9" s="4">
        <v>7039</v>
      </c>
      <c r="E9" s="4">
        <v>2.9265520670549794</v>
      </c>
      <c r="F9" s="4">
        <v>206</v>
      </c>
      <c r="G9" s="4">
        <v>5039</v>
      </c>
      <c r="H9" s="4">
        <v>4.0881127207779322</v>
      </c>
      <c r="I9" s="4">
        <v>238</v>
      </c>
      <c r="J9" s="4">
        <v>3854</v>
      </c>
      <c r="K9" s="4">
        <v>6.1754021795537106</v>
      </c>
      <c r="L9" s="5">
        <v>4.3966889891288741</v>
      </c>
      <c r="M9" s="5">
        <v>1.6462597754949861</v>
      </c>
    </row>
    <row r="10" spans="1:19" x14ac:dyDescent="0.25">
      <c r="A10" s="48"/>
      <c r="B10" s="3" t="s">
        <v>7</v>
      </c>
      <c r="C10" s="4"/>
      <c r="D10" s="4"/>
      <c r="E10" s="6"/>
      <c r="F10" s="4"/>
      <c r="G10" s="4"/>
      <c r="H10" s="6"/>
      <c r="I10" s="4"/>
      <c r="J10" s="4"/>
      <c r="K10" s="6"/>
      <c r="L10" s="4"/>
      <c r="M10" s="4"/>
    </row>
    <row r="11" spans="1:19" x14ac:dyDescent="0.25">
      <c r="A11" s="49"/>
      <c r="B11" s="3" t="s">
        <v>11</v>
      </c>
      <c r="C11" s="4"/>
      <c r="D11" s="4"/>
      <c r="E11" s="6"/>
      <c r="F11" s="4"/>
      <c r="G11" s="4"/>
      <c r="H11" s="6"/>
      <c r="I11" s="4"/>
      <c r="J11" s="4"/>
      <c r="K11" s="6"/>
      <c r="L11" s="4"/>
      <c r="M11" s="4"/>
      <c r="N11" t="s">
        <v>18</v>
      </c>
    </row>
    <row r="12" spans="1:19" x14ac:dyDescent="0.25">
      <c r="A12" s="47" t="s">
        <v>10</v>
      </c>
      <c r="B12" s="3">
        <v>0</v>
      </c>
      <c r="C12" s="4">
        <v>192</v>
      </c>
      <c r="D12" s="4">
        <v>4291</v>
      </c>
      <c r="E12" s="4">
        <v>4.4744814728501519</v>
      </c>
      <c r="F12" s="4">
        <v>192</v>
      </c>
      <c r="G12" s="4">
        <v>3288</v>
      </c>
      <c r="H12" s="4">
        <v>5.8394160583941606</v>
      </c>
      <c r="I12" s="4">
        <v>252</v>
      </c>
      <c r="J12" s="4">
        <v>4523</v>
      </c>
      <c r="K12" s="4">
        <v>5.5715233252266199</v>
      </c>
      <c r="L12" s="5">
        <v>5.2951402854903105</v>
      </c>
      <c r="M12" s="5">
        <v>0.72322354372211006</v>
      </c>
      <c r="N12">
        <v>8.0479568765930626E-2</v>
      </c>
    </row>
    <row r="13" spans="1:19" x14ac:dyDescent="0.25">
      <c r="A13" s="48"/>
      <c r="B13" s="3">
        <v>0.25</v>
      </c>
      <c r="C13" s="4">
        <v>2534</v>
      </c>
      <c r="D13" s="4">
        <v>1684</v>
      </c>
      <c r="E13" s="4">
        <v>150.47505938242281</v>
      </c>
      <c r="F13" s="4">
        <v>2528</v>
      </c>
      <c r="G13" s="4">
        <v>1384</v>
      </c>
      <c r="H13" s="4">
        <v>182.65895953757226</v>
      </c>
      <c r="I13" s="4">
        <v>3738</v>
      </c>
      <c r="J13" s="4">
        <v>1815</v>
      </c>
      <c r="K13" s="4">
        <v>205.95041322314049</v>
      </c>
      <c r="L13" s="5">
        <v>179.69481071437852</v>
      </c>
      <c r="M13" s="5">
        <v>27.856208547157518</v>
      </c>
      <c r="N13">
        <v>6.7235242854731675E-2</v>
      </c>
    </row>
    <row r="14" spans="1:19" x14ac:dyDescent="0.25">
      <c r="A14" s="48"/>
      <c r="B14" s="3">
        <v>1</v>
      </c>
      <c r="C14" s="4">
        <v>6943</v>
      </c>
      <c r="D14" s="4">
        <v>3450</v>
      </c>
      <c r="E14" s="4">
        <v>201.24637681159419</v>
      </c>
      <c r="F14" s="4">
        <v>4043</v>
      </c>
      <c r="G14" s="4">
        <v>3050</v>
      </c>
      <c r="H14" s="4">
        <v>132.55737704918033</v>
      </c>
      <c r="I14" s="4">
        <v>7011</v>
      </c>
      <c r="J14" s="4">
        <v>3331</v>
      </c>
      <c r="K14" s="4">
        <v>210.47733413389375</v>
      </c>
      <c r="L14" s="5">
        <v>181.4270293315561</v>
      </c>
      <c r="M14" s="5">
        <v>42.573287739165302</v>
      </c>
      <c r="N14">
        <v>4.1855231454969395E-2</v>
      </c>
    </row>
    <row r="15" spans="1:19" x14ac:dyDescent="0.25">
      <c r="A15" s="48"/>
      <c r="B15" s="3">
        <v>3</v>
      </c>
      <c r="C15" s="4">
        <v>3350</v>
      </c>
      <c r="D15" s="4">
        <v>2811</v>
      </c>
      <c r="E15" s="4">
        <v>119.1746709356101</v>
      </c>
      <c r="F15" s="4">
        <v>3190</v>
      </c>
      <c r="G15" s="4">
        <v>2766</v>
      </c>
      <c r="H15" s="4">
        <v>115.32899493853941</v>
      </c>
      <c r="I15" s="4">
        <v>3752</v>
      </c>
      <c r="J15" s="4">
        <v>2944</v>
      </c>
      <c r="K15" s="4">
        <v>127.44565217391303</v>
      </c>
      <c r="L15" s="5">
        <v>120.64977268268751</v>
      </c>
      <c r="M15" s="5">
        <v>6.1915498474175372</v>
      </c>
      <c r="N15">
        <v>3.2662485672522406E-3</v>
      </c>
    </row>
    <row r="16" spans="1:19" x14ac:dyDescent="0.25">
      <c r="A16" s="48"/>
      <c r="B16" s="3">
        <v>7</v>
      </c>
      <c r="C16" s="4">
        <v>234</v>
      </c>
      <c r="D16" s="4">
        <v>4127</v>
      </c>
      <c r="E16" s="4">
        <v>5.669978192391568</v>
      </c>
      <c r="F16" s="4">
        <v>230</v>
      </c>
      <c r="G16" s="4">
        <v>2668</v>
      </c>
      <c r="H16" s="4">
        <v>8.6206896551724146</v>
      </c>
      <c r="I16" s="4">
        <v>258</v>
      </c>
      <c r="J16" s="4">
        <v>4421</v>
      </c>
      <c r="K16" s="4">
        <v>5.835783759330468</v>
      </c>
      <c r="L16" s="5">
        <v>6.7088172022981496</v>
      </c>
      <c r="M16" s="5">
        <v>1.6578042944061879</v>
      </c>
      <c r="N16">
        <v>4.5677431993218123E-2</v>
      </c>
    </row>
    <row r="17" spans="1:19" x14ac:dyDescent="0.25">
      <c r="A17" s="48"/>
      <c r="B17" s="3">
        <v>14</v>
      </c>
      <c r="C17" s="4">
        <v>197</v>
      </c>
      <c r="D17" s="4">
        <v>4806</v>
      </c>
      <c r="E17" s="4">
        <v>4.0990428630878064</v>
      </c>
      <c r="F17" s="4">
        <v>201</v>
      </c>
      <c r="G17" s="4">
        <v>4006</v>
      </c>
      <c r="H17" s="4">
        <v>5.0174737893160257</v>
      </c>
      <c r="I17" s="4">
        <v>202</v>
      </c>
      <c r="J17" s="4">
        <v>4731</v>
      </c>
      <c r="K17" s="4">
        <v>4.2697104206298881</v>
      </c>
      <c r="L17" s="5">
        <v>4.4620756910112398</v>
      </c>
      <c r="M17" s="5">
        <v>0.48849988689842516</v>
      </c>
      <c r="N17">
        <v>0.95058086523496388</v>
      </c>
    </row>
    <row r="18" spans="1:19" x14ac:dyDescent="0.25">
      <c r="A18" s="48"/>
      <c r="B18" s="3" t="s">
        <v>7</v>
      </c>
      <c r="C18" s="4"/>
      <c r="D18" s="4"/>
      <c r="E18" s="6"/>
      <c r="F18" s="4"/>
      <c r="G18" s="4"/>
      <c r="H18" s="6"/>
      <c r="I18" s="4"/>
      <c r="J18" s="4"/>
      <c r="K18" s="6"/>
      <c r="L18" s="4"/>
      <c r="M18" s="4"/>
    </row>
    <row r="19" spans="1:19" x14ac:dyDescent="0.25">
      <c r="A19" s="49"/>
      <c r="B19" s="3" t="s">
        <v>11</v>
      </c>
      <c r="C19" s="4"/>
      <c r="D19" s="4"/>
      <c r="E19" s="6"/>
      <c r="F19" s="4"/>
      <c r="G19" s="4"/>
      <c r="H19" s="6"/>
      <c r="I19" s="4"/>
      <c r="J19" s="4"/>
      <c r="K19" s="6"/>
      <c r="L19" s="4"/>
      <c r="M19" s="4"/>
    </row>
    <row r="24" spans="1:19" x14ac:dyDescent="0.25">
      <c r="A24" t="s">
        <v>48</v>
      </c>
    </row>
    <row r="25" spans="1:19" x14ac:dyDescent="0.25">
      <c r="A25" s="45" t="s">
        <v>13</v>
      </c>
      <c r="B25" s="45" t="s">
        <v>14</v>
      </c>
      <c r="C25" s="46">
        <v>1</v>
      </c>
      <c r="D25" s="46"/>
      <c r="E25" s="46"/>
      <c r="F25" s="46">
        <v>2</v>
      </c>
      <c r="G25" s="46"/>
      <c r="H25" s="46"/>
      <c r="I25" s="46">
        <v>3</v>
      </c>
      <c r="J25" s="46"/>
      <c r="K25" s="46"/>
      <c r="L25" s="3" t="s">
        <v>92</v>
      </c>
      <c r="M25" s="3" t="s">
        <v>11</v>
      </c>
      <c r="P25" t="s">
        <v>16</v>
      </c>
      <c r="R25" t="s">
        <v>17</v>
      </c>
    </row>
    <row r="26" spans="1:19" x14ac:dyDescent="0.25">
      <c r="A26" s="45"/>
      <c r="B26" s="45"/>
      <c r="C26" s="3" t="s">
        <v>26</v>
      </c>
      <c r="D26" s="3" t="s">
        <v>21</v>
      </c>
      <c r="E26" s="3" t="s">
        <v>6</v>
      </c>
      <c r="F26" s="3" t="s">
        <v>26</v>
      </c>
      <c r="G26" s="3" t="s">
        <v>21</v>
      </c>
      <c r="H26" s="3" t="s">
        <v>6</v>
      </c>
      <c r="I26" s="3" t="s">
        <v>26</v>
      </c>
      <c r="J26" s="3" t="s">
        <v>21</v>
      </c>
      <c r="K26" s="3" t="s">
        <v>6</v>
      </c>
      <c r="L26" s="3" t="s">
        <v>6</v>
      </c>
      <c r="M26" s="3" t="s">
        <v>6</v>
      </c>
      <c r="O26">
        <v>0</v>
      </c>
      <c r="P26">
        <v>15.486732226386186</v>
      </c>
      <c r="Q26">
        <v>4.1153044901236528</v>
      </c>
      <c r="R26">
        <v>31.440397570610969</v>
      </c>
      <c r="S26">
        <v>14.477251026020715</v>
      </c>
    </row>
    <row r="27" spans="1:19" x14ac:dyDescent="0.25">
      <c r="A27" s="47" t="s">
        <v>9</v>
      </c>
      <c r="B27" s="3">
        <v>0</v>
      </c>
      <c r="C27" s="4">
        <v>178</v>
      </c>
      <c r="D27" s="4">
        <v>1066</v>
      </c>
      <c r="E27" s="4">
        <v>16.697936210131331</v>
      </c>
      <c r="F27" s="4">
        <v>96</v>
      </c>
      <c r="G27" s="4">
        <v>509</v>
      </c>
      <c r="H27" s="4">
        <v>18.860510805500983</v>
      </c>
      <c r="I27" s="4">
        <v>243</v>
      </c>
      <c r="J27" s="4">
        <v>2229</v>
      </c>
      <c r="K27" s="4">
        <v>10.901749663526244</v>
      </c>
      <c r="L27" s="5">
        <v>15.486732226386186</v>
      </c>
      <c r="M27" s="5">
        <v>4.1153044901236528</v>
      </c>
      <c r="O27">
        <v>0.25</v>
      </c>
      <c r="P27">
        <v>193.52446470226178</v>
      </c>
      <c r="Q27">
        <v>19.868699435760494</v>
      </c>
      <c r="R27">
        <v>790.21856081317526</v>
      </c>
      <c r="S27">
        <v>165.92136252333998</v>
      </c>
    </row>
    <row r="28" spans="1:19" x14ac:dyDescent="0.25">
      <c r="A28" s="48"/>
      <c r="B28" s="3">
        <v>0.25</v>
      </c>
      <c r="C28" s="4">
        <v>3356</v>
      </c>
      <c r="D28" s="4">
        <v>1966</v>
      </c>
      <c r="E28" s="4">
        <v>170.70193285859614</v>
      </c>
      <c r="F28" s="4">
        <v>3001</v>
      </c>
      <c r="G28" s="4">
        <v>1479</v>
      </c>
      <c r="H28" s="4">
        <v>202.90736984448952</v>
      </c>
      <c r="I28" s="4">
        <v>1902</v>
      </c>
      <c r="J28" s="4">
        <v>919</v>
      </c>
      <c r="K28" s="4">
        <v>206.96409140369968</v>
      </c>
      <c r="L28" s="5">
        <v>193.52446470226178</v>
      </c>
      <c r="M28" s="5">
        <v>19.868699435760494</v>
      </c>
      <c r="O28">
        <v>1</v>
      </c>
      <c r="P28">
        <v>68.33088352108696</v>
      </c>
      <c r="Q28">
        <v>32.692585608637145</v>
      </c>
      <c r="R28">
        <v>893.74065636712055</v>
      </c>
      <c r="S28">
        <v>158.96632284147236</v>
      </c>
    </row>
    <row r="29" spans="1:19" x14ac:dyDescent="0.25">
      <c r="A29" s="48"/>
      <c r="B29" s="3">
        <v>1</v>
      </c>
      <c r="C29" s="4">
        <v>1920</v>
      </c>
      <c r="D29" s="4">
        <v>1924</v>
      </c>
      <c r="E29" s="4">
        <v>99.792099792099805</v>
      </c>
      <c r="F29" s="4">
        <v>240</v>
      </c>
      <c r="G29" s="4">
        <v>695</v>
      </c>
      <c r="H29" s="4">
        <v>34.532374100719423</v>
      </c>
      <c r="I29" s="4">
        <v>624</v>
      </c>
      <c r="J29" s="4">
        <v>883</v>
      </c>
      <c r="K29" s="4">
        <v>70.668176670441667</v>
      </c>
      <c r="L29" s="5">
        <v>68.33088352108696</v>
      </c>
      <c r="M29" s="5">
        <v>32.692585608637145</v>
      </c>
      <c r="O29">
        <v>3</v>
      </c>
      <c r="P29">
        <v>63.32356649057531</v>
      </c>
      <c r="Q29">
        <v>28.278513378162941</v>
      </c>
      <c r="R29">
        <v>839.02171402171405</v>
      </c>
      <c r="S29">
        <v>330.55853490795528</v>
      </c>
    </row>
    <row r="30" spans="1:19" x14ac:dyDescent="0.25">
      <c r="A30" s="48"/>
      <c r="B30" s="3">
        <v>3</v>
      </c>
      <c r="C30" s="4">
        <v>379</v>
      </c>
      <c r="D30" s="4">
        <v>873</v>
      </c>
      <c r="E30" s="4">
        <v>43.4135166093929</v>
      </c>
      <c r="F30" s="4">
        <v>441</v>
      </c>
      <c r="G30" s="4">
        <v>867</v>
      </c>
      <c r="H30" s="4">
        <v>50.865051903114193</v>
      </c>
      <c r="I30" s="4">
        <v>1666</v>
      </c>
      <c r="J30" s="4">
        <v>1741</v>
      </c>
      <c r="K30" s="4">
        <v>95.692130959218829</v>
      </c>
      <c r="L30" s="5">
        <v>63.32356649057531</v>
      </c>
      <c r="M30" s="5">
        <v>28.278513378162941</v>
      </c>
      <c r="O30">
        <v>7</v>
      </c>
      <c r="P30">
        <v>64.646389915081571</v>
      </c>
      <c r="Q30">
        <v>88.748934175001665</v>
      </c>
      <c r="R30">
        <v>119.70925222579278</v>
      </c>
      <c r="S30">
        <v>45.940061222334791</v>
      </c>
    </row>
    <row r="31" spans="1:19" x14ac:dyDescent="0.25">
      <c r="A31" s="48"/>
      <c r="B31" s="3">
        <v>7</v>
      </c>
      <c r="C31" s="4">
        <v>170</v>
      </c>
      <c r="D31" s="4">
        <v>979</v>
      </c>
      <c r="E31" s="4">
        <v>17.364657814096017</v>
      </c>
      <c r="F31" s="4">
        <v>72</v>
      </c>
      <c r="G31" s="4">
        <v>754</v>
      </c>
      <c r="H31" s="4">
        <v>9.549071618037134</v>
      </c>
      <c r="I31" s="4">
        <v>1707</v>
      </c>
      <c r="J31" s="4">
        <v>1022</v>
      </c>
      <c r="K31" s="4">
        <v>167.02544031311155</v>
      </c>
      <c r="L31" s="5">
        <v>64.646389915081571</v>
      </c>
      <c r="M31" s="5">
        <v>88.748934175001665</v>
      </c>
      <c r="O31">
        <v>14</v>
      </c>
      <c r="P31">
        <v>85.866459523526501</v>
      </c>
      <c r="Q31">
        <v>117.84124837562032</v>
      </c>
      <c r="R31">
        <v>155.539660046557</v>
      </c>
      <c r="S31">
        <v>28.197070236420451</v>
      </c>
    </row>
    <row r="32" spans="1:19" x14ac:dyDescent="0.25">
      <c r="A32" s="48"/>
      <c r="B32" s="3">
        <v>14</v>
      </c>
      <c r="C32" s="4">
        <v>221</v>
      </c>
      <c r="D32" s="4">
        <v>988</v>
      </c>
      <c r="E32" s="4">
        <v>22.368421052631579</v>
      </c>
      <c r="F32" s="4">
        <v>122</v>
      </c>
      <c r="G32" s="4">
        <v>911</v>
      </c>
      <c r="H32" s="4">
        <v>13.391877058177826</v>
      </c>
      <c r="I32" s="4">
        <v>386</v>
      </c>
      <c r="J32" s="4">
        <v>174</v>
      </c>
      <c r="K32" s="4">
        <v>221.83908045977012</v>
      </c>
      <c r="L32" s="5">
        <v>85.866459523526501</v>
      </c>
      <c r="M32" s="5">
        <v>117.84124837562032</v>
      </c>
    </row>
    <row r="33" spans="1:18" x14ac:dyDescent="0.25">
      <c r="A33" s="48"/>
      <c r="B33" s="3" t="s">
        <v>7</v>
      </c>
      <c r="C33" s="6"/>
      <c r="D33" s="6"/>
      <c r="E33" s="7"/>
      <c r="F33" s="7"/>
      <c r="G33" s="7"/>
      <c r="H33" s="7"/>
      <c r="I33" s="7"/>
      <c r="J33" s="7"/>
      <c r="K33" s="7"/>
      <c r="L33" s="4"/>
      <c r="M33" s="4"/>
    </row>
    <row r="34" spans="1:18" x14ac:dyDescent="0.25">
      <c r="A34" s="49"/>
      <c r="B34" s="3" t="s">
        <v>11</v>
      </c>
      <c r="C34" s="6"/>
      <c r="D34" s="6"/>
      <c r="E34" s="7"/>
      <c r="F34" s="7"/>
      <c r="G34" s="7"/>
      <c r="H34" s="7"/>
      <c r="I34" s="7"/>
      <c r="J34" s="7"/>
      <c r="K34" s="7"/>
      <c r="L34" s="4"/>
      <c r="M34" s="4"/>
      <c r="N34" t="s">
        <v>18</v>
      </c>
    </row>
    <row r="35" spans="1:18" x14ac:dyDescent="0.25">
      <c r="A35" s="47" t="s">
        <v>10</v>
      </c>
      <c r="B35" s="3">
        <v>0</v>
      </c>
      <c r="C35" s="4">
        <v>365</v>
      </c>
      <c r="D35" s="4">
        <v>898</v>
      </c>
      <c r="E35" s="4">
        <v>40.645879732739424</v>
      </c>
      <c r="F35" s="4">
        <v>195</v>
      </c>
      <c r="G35" s="4">
        <v>501</v>
      </c>
      <c r="H35" s="4">
        <v>38.922155688622759</v>
      </c>
      <c r="I35" s="4">
        <v>257</v>
      </c>
      <c r="J35" s="4">
        <v>1742</v>
      </c>
      <c r="K35" s="4">
        <v>14.753157290470723</v>
      </c>
      <c r="L35" s="5">
        <v>31.440397570610969</v>
      </c>
      <c r="M35" s="5">
        <v>14.477251026020715</v>
      </c>
      <c r="N35">
        <v>0.1402552936854462</v>
      </c>
    </row>
    <row r="36" spans="1:18" x14ac:dyDescent="0.25">
      <c r="A36" s="48"/>
      <c r="B36" s="3">
        <v>0.25</v>
      </c>
      <c r="C36" s="4">
        <v>14694</v>
      </c>
      <c r="D36" s="4">
        <v>1804</v>
      </c>
      <c r="E36" s="4">
        <v>814.52328159645231</v>
      </c>
      <c r="F36" s="4">
        <v>3846</v>
      </c>
      <c r="G36" s="4">
        <v>408</v>
      </c>
      <c r="H36" s="4">
        <v>942.64705882352939</v>
      </c>
      <c r="I36" s="4">
        <v>18834</v>
      </c>
      <c r="J36" s="4">
        <v>3070</v>
      </c>
      <c r="K36" s="4">
        <v>613.48534201954396</v>
      </c>
      <c r="L36" s="5">
        <v>790.21856081317526</v>
      </c>
      <c r="M36" s="5">
        <v>165.92136252333998</v>
      </c>
      <c r="N36">
        <v>3.4732543776915428E-3</v>
      </c>
    </row>
    <row r="37" spans="1:18" x14ac:dyDescent="0.25">
      <c r="A37" s="48"/>
      <c r="B37" s="3">
        <v>1</v>
      </c>
      <c r="C37" s="4">
        <v>19172</v>
      </c>
      <c r="D37" s="4">
        <v>2681</v>
      </c>
      <c r="E37" s="4">
        <v>715.10630361805295</v>
      </c>
      <c r="F37" s="4">
        <v>4846</v>
      </c>
      <c r="G37" s="4">
        <v>512</v>
      </c>
      <c r="H37" s="4">
        <v>946.484375</v>
      </c>
      <c r="I37" s="4">
        <v>20464</v>
      </c>
      <c r="J37" s="4">
        <v>2007</v>
      </c>
      <c r="K37" s="4">
        <v>1019.6312904833084</v>
      </c>
      <c r="L37" s="5">
        <v>893.74065636712055</v>
      </c>
      <c r="M37" s="5">
        <v>158.96632284147236</v>
      </c>
      <c r="N37">
        <v>9.1624790260012151E-4</v>
      </c>
    </row>
    <row r="38" spans="1:18" x14ac:dyDescent="0.25">
      <c r="A38" s="48"/>
      <c r="B38" s="3">
        <v>3</v>
      </c>
      <c r="C38" s="4">
        <v>1180</v>
      </c>
      <c r="D38" s="4">
        <v>148</v>
      </c>
      <c r="E38" s="4">
        <v>797.29729729729729</v>
      </c>
      <c r="F38" s="4">
        <v>2359</v>
      </c>
      <c r="G38" s="4">
        <v>444</v>
      </c>
      <c r="H38" s="4">
        <v>531.30630630630628</v>
      </c>
      <c r="I38" s="4">
        <v>5871</v>
      </c>
      <c r="J38" s="4">
        <v>494</v>
      </c>
      <c r="K38" s="4">
        <v>1188.4615384615386</v>
      </c>
      <c r="L38" s="5">
        <v>839.02171402171405</v>
      </c>
      <c r="M38" s="5">
        <v>330.55853490795528</v>
      </c>
      <c r="N38">
        <v>1.5479699982151929E-2</v>
      </c>
    </row>
    <row r="39" spans="1:18" x14ac:dyDescent="0.25">
      <c r="A39" s="48"/>
      <c r="B39" s="3">
        <v>7</v>
      </c>
      <c r="C39" s="4">
        <v>1235</v>
      </c>
      <c r="D39" s="4">
        <v>715</v>
      </c>
      <c r="E39" s="4">
        <v>172.72727272727272</v>
      </c>
      <c r="F39" s="4">
        <v>556</v>
      </c>
      <c r="G39" s="4">
        <v>587</v>
      </c>
      <c r="H39" s="4">
        <v>94.718909710391813</v>
      </c>
      <c r="I39" s="4">
        <v>1025</v>
      </c>
      <c r="J39" s="4">
        <v>1118</v>
      </c>
      <c r="K39" s="4">
        <v>91.681574239713768</v>
      </c>
      <c r="L39" s="5">
        <v>119.70925222579278</v>
      </c>
      <c r="M39" s="5">
        <v>45.940061222334791</v>
      </c>
      <c r="N39">
        <v>0.39395234988094952</v>
      </c>
    </row>
    <row r="40" spans="1:18" x14ac:dyDescent="0.25">
      <c r="A40" s="48"/>
      <c r="B40" s="3">
        <v>14</v>
      </c>
      <c r="C40" s="4">
        <v>775</v>
      </c>
      <c r="D40" s="4">
        <v>541</v>
      </c>
      <c r="E40" s="4">
        <v>143.2532347504621</v>
      </c>
      <c r="F40" s="4">
        <v>404</v>
      </c>
      <c r="G40" s="4">
        <v>298</v>
      </c>
      <c r="H40" s="4">
        <v>135.57046979865771</v>
      </c>
      <c r="I40" s="4">
        <v>954</v>
      </c>
      <c r="J40" s="4">
        <v>508</v>
      </c>
      <c r="K40" s="4">
        <v>187.79527559055117</v>
      </c>
      <c r="L40" s="5">
        <v>155.539660046557</v>
      </c>
      <c r="M40" s="5">
        <v>28.197070236420451</v>
      </c>
      <c r="N40">
        <v>0.37564162762361414</v>
      </c>
    </row>
    <row r="41" spans="1:18" x14ac:dyDescent="0.25">
      <c r="A41" s="48"/>
      <c r="B41" s="3" t="s">
        <v>7</v>
      </c>
      <c r="C41" s="6"/>
      <c r="D41" s="6"/>
      <c r="E41" s="6"/>
      <c r="F41" s="4"/>
      <c r="G41" s="4"/>
      <c r="H41" s="6"/>
      <c r="I41" s="4"/>
      <c r="J41" s="4"/>
      <c r="K41" s="6"/>
      <c r="L41" s="4"/>
      <c r="M41" s="4"/>
    </row>
    <row r="42" spans="1:18" x14ac:dyDescent="0.25">
      <c r="A42" s="49"/>
      <c r="B42" s="3" t="s">
        <v>11</v>
      </c>
      <c r="C42" s="6"/>
      <c r="D42" s="6"/>
      <c r="E42" s="6"/>
      <c r="F42" s="4"/>
      <c r="G42" s="4"/>
      <c r="H42" s="6"/>
      <c r="I42" s="4"/>
      <c r="J42" s="4"/>
      <c r="K42" s="6"/>
      <c r="L42" s="4"/>
      <c r="M42" s="4"/>
    </row>
    <row r="47" spans="1:18" x14ac:dyDescent="0.25">
      <c r="A47" t="s">
        <v>49</v>
      </c>
    </row>
    <row r="48" spans="1:18" x14ac:dyDescent="0.25">
      <c r="A48" s="45" t="s">
        <v>13</v>
      </c>
      <c r="B48" s="45" t="s">
        <v>14</v>
      </c>
      <c r="C48" s="46">
        <v>1</v>
      </c>
      <c r="D48" s="46"/>
      <c r="E48" s="46"/>
      <c r="F48" s="46">
        <v>2</v>
      </c>
      <c r="G48" s="46"/>
      <c r="H48" s="46"/>
      <c r="I48" s="46">
        <v>3</v>
      </c>
      <c r="J48" s="46"/>
      <c r="K48" s="46"/>
      <c r="L48" s="3" t="s">
        <v>92</v>
      </c>
      <c r="M48" s="3" t="s">
        <v>11</v>
      </c>
      <c r="P48" t="s">
        <v>16</v>
      </c>
      <c r="R48" t="s">
        <v>17</v>
      </c>
    </row>
    <row r="49" spans="1:19" x14ac:dyDescent="0.25">
      <c r="A49" s="45"/>
      <c r="B49" s="45"/>
      <c r="C49" s="3" t="s">
        <v>26</v>
      </c>
      <c r="D49" s="3" t="s">
        <v>21</v>
      </c>
      <c r="E49" s="3" t="s">
        <v>6</v>
      </c>
      <c r="F49" s="3" t="s">
        <v>26</v>
      </c>
      <c r="G49" s="3" t="s">
        <v>21</v>
      </c>
      <c r="H49" s="3" t="s">
        <v>6</v>
      </c>
      <c r="I49" s="3" t="s">
        <v>26</v>
      </c>
      <c r="J49" s="3" t="s">
        <v>21</v>
      </c>
      <c r="K49" s="3" t="s">
        <v>6</v>
      </c>
      <c r="L49" s="3" t="s">
        <v>6</v>
      </c>
      <c r="M49" s="3" t="s">
        <v>6</v>
      </c>
      <c r="O49">
        <v>0</v>
      </c>
      <c r="P49">
        <v>0.7981829903009604</v>
      </c>
      <c r="Q49">
        <v>0.27879914462315142</v>
      </c>
      <c r="R49">
        <v>0.73690504924815681</v>
      </c>
      <c r="S49">
        <v>0.22530984792546332</v>
      </c>
    </row>
    <row r="50" spans="1:19" x14ac:dyDescent="0.25">
      <c r="A50" s="47" t="s">
        <v>9</v>
      </c>
      <c r="B50" s="3">
        <v>0</v>
      </c>
      <c r="C50" s="4">
        <v>2</v>
      </c>
      <c r="D50" s="4">
        <v>391</v>
      </c>
      <c r="E50" s="4">
        <v>0.51150895140664965</v>
      </c>
      <c r="F50" s="4">
        <v>4</v>
      </c>
      <c r="G50" s="4">
        <v>491</v>
      </c>
      <c r="H50" s="4">
        <v>0.81466395112016288</v>
      </c>
      <c r="I50" s="4">
        <v>5</v>
      </c>
      <c r="J50" s="4">
        <v>468</v>
      </c>
      <c r="K50" s="4">
        <v>1.0683760683760684</v>
      </c>
      <c r="L50" s="5">
        <v>0.7981829903009604</v>
      </c>
      <c r="M50" s="5">
        <v>0.27879914462315142</v>
      </c>
      <c r="O50">
        <v>0.25</v>
      </c>
      <c r="P50">
        <v>265.23466888906597</v>
      </c>
      <c r="Q50">
        <v>15.732950643058073</v>
      </c>
      <c r="R50">
        <v>1033.2993709392474</v>
      </c>
      <c r="S50">
        <v>80.400433464199381</v>
      </c>
    </row>
    <row r="51" spans="1:19" x14ac:dyDescent="0.25">
      <c r="A51" s="48"/>
      <c r="B51" s="3">
        <v>0.25</v>
      </c>
      <c r="C51" s="4">
        <v>3774</v>
      </c>
      <c r="D51" s="4">
        <v>1421</v>
      </c>
      <c r="E51" s="4">
        <v>265.58761435608727</v>
      </c>
      <c r="F51" s="4">
        <v>1299</v>
      </c>
      <c r="G51" s="4">
        <v>521</v>
      </c>
      <c r="H51" s="4">
        <v>249.32821497120923</v>
      </c>
      <c r="I51" s="4">
        <v>3990</v>
      </c>
      <c r="J51" s="4">
        <v>1421</v>
      </c>
      <c r="K51" s="4">
        <v>280.78817733990149</v>
      </c>
      <c r="L51" s="5">
        <v>265.23466888906597</v>
      </c>
      <c r="M51" s="5">
        <v>15.732950643058073</v>
      </c>
      <c r="O51">
        <v>1</v>
      </c>
      <c r="P51">
        <v>219.69043773010608</v>
      </c>
      <c r="Q51">
        <v>9.1542515849910426</v>
      </c>
      <c r="R51">
        <v>1051.1799066705701</v>
      </c>
      <c r="S51">
        <v>15.683729517389439</v>
      </c>
    </row>
    <row r="52" spans="1:19" x14ac:dyDescent="0.25">
      <c r="A52" s="48"/>
      <c r="B52" s="3">
        <v>1</v>
      </c>
      <c r="C52" s="4">
        <v>1349</v>
      </c>
      <c r="D52" s="4">
        <v>595</v>
      </c>
      <c r="E52" s="4">
        <v>226.72268907563026</v>
      </c>
      <c r="F52" s="4">
        <v>1260</v>
      </c>
      <c r="G52" s="4">
        <v>565</v>
      </c>
      <c r="H52" s="4">
        <v>223.00884955752213</v>
      </c>
      <c r="I52" s="4">
        <v>1300</v>
      </c>
      <c r="J52" s="4">
        <v>621</v>
      </c>
      <c r="K52" s="4">
        <v>209.33977455716587</v>
      </c>
      <c r="L52" s="5">
        <v>219.69043773010608</v>
      </c>
      <c r="M52" s="5">
        <v>9.1542515849910426</v>
      </c>
      <c r="O52">
        <v>3</v>
      </c>
      <c r="P52">
        <v>232.77904038132627</v>
      </c>
      <c r="Q52">
        <v>38.958635935914394</v>
      </c>
      <c r="R52">
        <v>735.91836727976749</v>
      </c>
      <c r="S52">
        <v>134.08402642279188</v>
      </c>
    </row>
    <row r="53" spans="1:19" x14ac:dyDescent="0.25">
      <c r="A53" s="48"/>
      <c r="B53" s="3">
        <v>3</v>
      </c>
      <c r="C53" s="4">
        <v>1051</v>
      </c>
      <c r="D53" s="4">
        <v>402</v>
      </c>
      <c r="E53" s="4">
        <v>261.44278606965173</v>
      </c>
      <c r="F53" s="4">
        <v>651</v>
      </c>
      <c r="G53" s="4">
        <v>262</v>
      </c>
      <c r="H53" s="4">
        <v>248.47328244274811</v>
      </c>
      <c r="I53" s="4">
        <v>895</v>
      </c>
      <c r="J53" s="4">
        <v>475</v>
      </c>
      <c r="K53" s="4">
        <v>188.42105263157896</v>
      </c>
      <c r="L53" s="5">
        <v>232.77904038132627</v>
      </c>
      <c r="M53" s="5">
        <v>38.958635935914394</v>
      </c>
      <c r="O53">
        <v>7</v>
      </c>
      <c r="P53">
        <v>300.20413000873128</v>
      </c>
      <c r="Q53">
        <v>58.04282957562004</v>
      </c>
      <c r="R53">
        <v>69.228376982213902</v>
      </c>
      <c r="S53">
        <v>9.12659598033758</v>
      </c>
    </row>
    <row r="54" spans="1:19" x14ac:dyDescent="0.25">
      <c r="A54" s="48"/>
      <c r="B54" s="3">
        <v>7</v>
      </c>
      <c r="C54" s="4">
        <v>3712</v>
      </c>
      <c r="D54" s="4">
        <v>1140</v>
      </c>
      <c r="E54" s="4">
        <v>325.61403508771929</v>
      </c>
      <c r="F54" s="4">
        <v>621</v>
      </c>
      <c r="G54" s="4">
        <v>182</v>
      </c>
      <c r="H54" s="4">
        <v>341.20879120879118</v>
      </c>
      <c r="I54" s="4">
        <v>2733</v>
      </c>
      <c r="J54" s="4">
        <v>1169</v>
      </c>
      <c r="K54" s="4">
        <v>233.78956372968349</v>
      </c>
      <c r="L54" s="5">
        <v>300.20413000873128</v>
      </c>
      <c r="M54" s="5">
        <v>58.04282957562004</v>
      </c>
      <c r="O54">
        <v>14</v>
      </c>
      <c r="P54">
        <v>98.105810769786942</v>
      </c>
      <c r="Q54">
        <v>81.733487894809102</v>
      </c>
      <c r="R54">
        <v>149.35254716112777</v>
      </c>
      <c r="S54">
        <v>42.940936883501998</v>
      </c>
    </row>
    <row r="55" spans="1:19" x14ac:dyDescent="0.25">
      <c r="A55" s="48"/>
      <c r="B55" s="3">
        <v>14</v>
      </c>
      <c r="C55" s="4">
        <v>322</v>
      </c>
      <c r="D55" s="4">
        <v>622</v>
      </c>
      <c r="E55" s="4">
        <v>51.768488745980711</v>
      </c>
      <c r="F55" s="4">
        <v>355</v>
      </c>
      <c r="G55" s="4">
        <v>709</v>
      </c>
      <c r="H55" s="4">
        <v>50.070521861777152</v>
      </c>
      <c r="I55" s="4">
        <v>3122</v>
      </c>
      <c r="J55" s="4">
        <v>1622</v>
      </c>
      <c r="K55" s="4">
        <v>192.47842170160297</v>
      </c>
      <c r="L55" s="5">
        <v>98.105810769786942</v>
      </c>
      <c r="M55" s="5">
        <v>81.733487894809102</v>
      </c>
    </row>
    <row r="56" spans="1:19" x14ac:dyDescent="0.25">
      <c r="A56" s="48"/>
      <c r="B56" s="3" t="s">
        <v>7</v>
      </c>
      <c r="C56" s="6"/>
      <c r="D56" s="6"/>
      <c r="E56" s="7"/>
      <c r="F56" s="7"/>
      <c r="G56" s="7"/>
      <c r="H56" s="7"/>
      <c r="I56" s="7"/>
      <c r="J56" s="7"/>
      <c r="K56" s="7"/>
      <c r="L56" s="4"/>
      <c r="M56" s="4"/>
    </row>
    <row r="57" spans="1:19" x14ac:dyDescent="0.25">
      <c r="A57" s="49"/>
      <c r="B57" s="3" t="s">
        <v>11</v>
      </c>
      <c r="C57" s="6"/>
      <c r="D57" s="6"/>
      <c r="E57" s="7"/>
      <c r="F57" s="7"/>
      <c r="G57" s="7"/>
      <c r="H57" s="7"/>
      <c r="I57" s="7"/>
      <c r="J57" s="7"/>
      <c r="K57" s="7"/>
      <c r="L57" s="4"/>
      <c r="M57" s="4"/>
      <c r="N57" t="s">
        <v>18</v>
      </c>
    </row>
    <row r="58" spans="1:19" x14ac:dyDescent="0.25">
      <c r="A58" s="47" t="s">
        <v>10</v>
      </c>
      <c r="B58" s="3">
        <v>0</v>
      </c>
      <c r="C58" s="4">
        <v>3</v>
      </c>
      <c r="D58" s="4">
        <v>478</v>
      </c>
      <c r="E58" s="4">
        <v>0.62761506276150625</v>
      </c>
      <c r="F58" s="4">
        <v>5</v>
      </c>
      <c r="G58" s="4">
        <v>502</v>
      </c>
      <c r="H58" s="4">
        <v>0.99601593625498008</v>
      </c>
      <c r="I58" s="4">
        <v>3</v>
      </c>
      <c r="J58" s="4">
        <v>511</v>
      </c>
      <c r="K58" s="4">
        <v>0.58708414872798431</v>
      </c>
      <c r="L58" s="5">
        <v>0.73690504924815681</v>
      </c>
      <c r="M58" s="5">
        <v>0.22530984792546332</v>
      </c>
      <c r="N58">
        <v>0.78189700254964523</v>
      </c>
    </row>
    <row r="59" spans="1:19" x14ac:dyDescent="0.25">
      <c r="A59" s="48"/>
      <c r="B59" s="3">
        <v>0.25</v>
      </c>
      <c r="C59" s="4">
        <v>5458</v>
      </c>
      <c r="D59" s="4">
        <v>579</v>
      </c>
      <c r="E59" s="4">
        <v>942.65975820379958</v>
      </c>
      <c r="F59" s="4">
        <v>4160</v>
      </c>
      <c r="G59" s="4">
        <v>392</v>
      </c>
      <c r="H59" s="4">
        <v>1061.2244897959183</v>
      </c>
      <c r="I59" s="4">
        <v>6324</v>
      </c>
      <c r="J59" s="4">
        <v>577</v>
      </c>
      <c r="K59" s="4">
        <v>1096.0138648180243</v>
      </c>
      <c r="L59" s="5">
        <v>1033.2993709392474</v>
      </c>
      <c r="M59" s="5">
        <v>80.400433464199381</v>
      </c>
      <c r="N59">
        <v>8.4156669396879736E-5</v>
      </c>
    </row>
    <row r="60" spans="1:19" x14ac:dyDescent="0.25">
      <c r="A60" s="48"/>
      <c r="B60" s="3">
        <v>1</v>
      </c>
      <c r="C60" s="4">
        <v>8088</v>
      </c>
      <c r="D60" s="4">
        <v>758</v>
      </c>
      <c r="E60" s="4">
        <v>1067.018469656992</v>
      </c>
      <c r="F60" s="4">
        <v>5054</v>
      </c>
      <c r="G60" s="4">
        <v>488</v>
      </c>
      <c r="H60" s="4">
        <v>1035.655737704918</v>
      </c>
      <c r="I60" s="4">
        <v>7892</v>
      </c>
      <c r="J60" s="4">
        <v>751</v>
      </c>
      <c r="K60" s="4">
        <v>1050.8655126498002</v>
      </c>
      <c r="L60" s="5">
        <v>1051.1799066705701</v>
      </c>
      <c r="M60" s="5">
        <v>15.683729517389439</v>
      </c>
      <c r="N60">
        <v>1.5151978501714266E-7</v>
      </c>
    </row>
    <row r="61" spans="1:19" x14ac:dyDescent="0.25">
      <c r="A61" s="48"/>
      <c r="B61" s="3">
        <v>3</v>
      </c>
      <c r="C61" s="4">
        <v>6201</v>
      </c>
      <c r="D61" s="4">
        <v>701</v>
      </c>
      <c r="E61" s="4">
        <v>884.59343794579172</v>
      </c>
      <c r="F61" s="4">
        <v>4201</v>
      </c>
      <c r="G61" s="4">
        <v>601</v>
      </c>
      <c r="H61" s="4">
        <v>699.00166389351079</v>
      </c>
      <c r="I61" s="4">
        <v>3901</v>
      </c>
      <c r="J61" s="4">
        <v>625</v>
      </c>
      <c r="K61" s="4">
        <v>624.16</v>
      </c>
      <c r="L61" s="5">
        <v>735.91836727976749</v>
      </c>
      <c r="M61" s="5">
        <v>134.08402642279188</v>
      </c>
      <c r="N61">
        <v>3.3586276097949375E-3</v>
      </c>
    </row>
    <row r="62" spans="1:19" x14ac:dyDescent="0.25">
      <c r="A62" s="48"/>
      <c r="B62" s="3">
        <v>7</v>
      </c>
      <c r="C62" s="4">
        <v>349</v>
      </c>
      <c r="D62" s="4">
        <v>581</v>
      </c>
      <c r="E62" s="4">
        <v>60.068846815834767</v>
      </c>
      <c r="F62" s="4">
        <v>448</v>
      </c>
      <c r="G62" s="4">
        <v>572</v>
      </c>
      <c r="H62" s="4">
        <v>78.32167832167832</v>
      </c>
      <c r="I62" s="4">
        <v>334</v>
      </c>
      <c r="J62" s="4">
        <v>482</v>
      </c>
      <c r="K62" s="4">
        <v>69.294605809128626</v>
      </c>
      <c r="L62" s="5">
        <v>69.228376982213902</v>
      </c>
      <c r="M62" s="5">
        <v>9.12659598033758</v>
      </c>
      <c r="N62">
        <v>2.4313347954150284E-3</v>
      </c>
    </row>
    <row r="63" spans="1:19" x14ac:dyDescent="0.25">
      <c r="A63" s="48"/>
      <c r="B63" s="3">
        <v>14</v>
      </c>
      <c r="C63" s="4">
        <v>592</v>
      </c>
      <c r="D63" s="4">
        <v>449</v>
      </c>
      <c r="E63" s="4">
        <v>131.84855233853006</v>
      </c>
      <c r="F63" s="4">
        <v>592</v>
      </c>
      <c r="G63" s="4">
        <v>502</v>
      </c>
      <c r="H63" s="4">
        <v>117.92828685258965</v>
      </c>
      <c r="I63" s="4">
        <v>692</v>
      </c>
      <c r="J63" s="4">
        <v>349</v>
      </c>
      <c r="K63" s="4">
        <v>198.28080229226362</v>
      </c>
      <c r="L63" s="5">
        <v>149.35254716112777</v>
      </c>
      <c r="M63" s="5">
        <v>42.940936883501998</v>
      </c>
      <c r="N63">
        <v>0.39080056161378662</v>
      </c>
    </row>
    <row r="64" spans="1:19" x14ac:dyDescent="0.25">
      <c r="A64" s="48"/>
      <c r="B64" s="3" t="s">
        <v>7</v>
      </c>
      <c r="C64" s="6"/>
      <c r="D64" s="6"/>
      <c r="E64" s="6"/>
      <c r="F64" s="4"/>
      <c r="G64" s="4"/>
      <c r="H64" s="6"/>
      <c r="I64" s="4"/>
      <c r="J64" s="4"/>
      <c r="K64" s="6"/>
      <c r="L64" s="4"/>
      <c r="M64" s="4"/>
    </row>
    <row r="65" spans="1:13" x14ac:dyDescent="0.25">
      <c r="A65" s="49"/>
      <c r="B65" s="3" t="s">
        <v>11</v>
      </c>
      <c r="C65" s="6"/>
      <c r="D65" s="6"/>
      <c r="E65" s="6"/>
      <c r="F65" s="4"/>
      <c r="G65" s="4"/>
      <c r="H65" s="6"/>
      <c r="I65" s="4"/>
      <c r="J65" s="4"/>
      <c r="K65" s="6"/>
      <c r="L65" s="4"/>
      <c r="M65" s="4"/>
    </row>
  </sheetData>
  <mergeCells count="21">
    <mergeCell ref="I48:K48"/>
    <mergeCell ref="A50:A57"/>
    <mergeCell ref="A58:A65"/>
    <mergeCell ref="A27:A34"/>
    <mergeCell ref="A35:A42"/>
    <mergeCell ref="A48:A49"/>
    <mergeCell ref="B48:B49"/>
    <mergeCell ref="C48:E48"/>
    <mergeCell ref="F48:H48"/>
    <mergeCell ref="I25:K25"/>
    <mergeCell ref="A2:A3"/>
    <mergeCell ref="B2:B3"/>
    <mergeCell ref="C2:E2"/>
    <mergeCell ref="F2:H2"/>
    <mergeCell ref="I2:K2"/>
    <mergeCell ref="A4:A11"/>
    <mergeCell ref="A12:A19"/>
    <mergeCell ref="A25:A26"/>
    <mergeCell ref="B25:B26"/>
    <mergeCell ref="C25:E25"/>
    <mergeCell ref="F25:H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E1B61-EFF2-4E9B-83F4-533957DECD91}">
  <dimension ref="A1:U170"/>
  <sheetViews>
    <sheetView topLeftCell="A94" workbookViewId="0">
      <selection activeCell="H82" sqref="H82"/>
    </sheetView>
  </sheetViews>
  <sheetFormatPr defaultRowHeight="15" x14ac:dyDescent="0.25"/>
  <sheetData>
    <row r="1" spans="1:19" x14ac:dyDescent="0.25">
      <c r="A1" t="s">
        <v>50</v>
      </c>
    </row>
    <row r="2" spans="1:19" x14ac:dyDescent="0.25">
      <c r="A2" s="45" t="s">
        <v>13</v>
      </c>
      <c r="B2" s="45" t="s">
        <v>14</v>
      </c>
      <c r="C2" s="46">
        <v>1</v>
      </c>
      <c r="D2" s="46"/>
      <c r="E2" s="46"/>
      <c r="F2" s="46">
        <v>2</v>
      </c>
      <c r="G2" s="46"/>
      <c r="H2" s="46"/>
      <c r="I2" s="46">
        <v>3</v>
      </c>
      <c r="J2" s="46"/>
      <c r="K2" s="46"/>
      <c r="L2" s="3" t="s">
        <v>92</v>
      </c>
      <c r="M2" s="3" t="s">
        <v>11</v>
      </c>
      <c r="P2" t="s">
        <v>16</v>
      </c>
      <c r="R2" t="s">
        <v>17</v>
      </c>
    </row>
    <row r="3" spans="1:19" x14ac:dyDescent="0.25">
      <c r="A3" s="45"/>
      <c r="B3" s="45"/>
      <c r="C3" s="3" t="s">
        <v>20</v>
      </c>
      <c r="D3" s="3" t="s">
        <v>21</v>
      </c>
      <c r="E3" s="3" t="s">
        <v>6</v>
      </c>
      <c r="F3" s="3" t="s">
        <v>20</v>
      </c>
      <c r="G3" s="3" t="s">
        <v>21</v>
      </c>
      <c r="H3" s="3" t="s">
        <v>6</v>
      </c>
      <c r="I3" s="3" t="s">
        <v>20</v>
      </c>
      <c r="J3" s="3" t="s">
        <v>21</v>
      </c>
      <c r="K3" s="3" t="s">
        <v>6</v>
      </c>
      <c r="L3" s="3" t="s">
        <v>6</v>
      </c>
      <c r="M3" s="3" t="s">
        <v>6</v>
      </c>
      <c r="O3">
        <v>0</v>
      </c>
      <c r="P3">
        <v>8.6970617980059206</v>
      </c>
      <c r="Q3">
        <v>4.9428759490828235E-2</v>
      </c>
      <c r="R3">
        <v>3.3350850445987952</v>
      </c>
      <c r="S3">
        <v>1.5590241575721338</v>
      </c>
    </row>
    <row r="4" spans="1:19" x14ac:dyDescent="0.25">
      <c r="A4" s="45" t="s">
        <v>9</v>
      </c>
      <c r="B4" s="3">
        <v>0</v>
      </c>
      <c r="C4" s="4">
        <v>1042</v>
      </c>
      <c r="D4" s="4">
        <v>12003</v>
      </c>
      <c r="E4" s="4">
        <v>8.68116304257269</v>
      </c>
      <c r="F4" s="4">
        <v>1037</v>
      </c>
      <c r="G4" s="4">
        <v>11978</v>
      </c>
      <c r="H4" s="4">
        <v>8.6575388211721496</v>
      </c>
      <c r="I4" s="4">
        <v>837</v>
      </c>
      <c r="J4" s="4">
        <v>9563</v>
      </c>
      <c r="K4" s="4">
        <v>8.7524835302729276</v>
      </c>
      <c r="L4" s="5">
        <v>8.6970617980059206</v>
      </c>
      <c r="M4" s="5">
        <v>4.9428759490828235E-2</v>
      </c>
      <c r="O4">
        <v>0.25</v>
      </c>
      <c r="P4">
        <v>13.797610937990044</v>
      </c>
      <c r="Q4">
        <v>1.5323633373353003</v>
      </c>
      <c r="R4">
        <v>14.181595923322924</v>
      </c>
      <c r="S4">
        <v>0.62649905546771678</v>
      </c>
    </row>
    <row r="5" spans="1:19" x14ac:dyDescent="0.25">
      <c r="A5" s="45"/>
      <c r="B5" s="3">
        <v>0.25</v>
      </c>
      <c r="C5" s="4">
        <v>491</v>
      </c>
      <c r="D5" s="4">
        <v>3864</v>
      </c>
      <c r="E5" s="4">
        <v>12.707039337474122</v>
      </c>
      <c r="F5" s="4">
        <v>462</v>
      </c>
      <c r="G5" s="4">
        <v>3517</v>
      </c>
      <c r="H5" s="4">
        <v>13.136195621268126</v>
      </c>
      <c r="I5" s="4">
        <v>464</v>
      </c>
      <c r="J5" s="4">
        <v>2984</v>
      </c>
      <c r="K5" s="4">
        <v>15.549597855227882</v>
      </c>
      <c r="L5" s="5">
        <v>13.797610937990044</v>
      </c>
      <c r="M5" s="5">
        <v>1.5323633373353003</v>
      </c>
      <c r="O5">
        <v>1</v>
      </c>
      <c r="P5">
        <v>8.9100351171079932</v>
      </c>
      <c r="Q5">
        <v>2.7686440566006474</v>
      </c>
      <c r="R5">
        <v>7.4699986237632316</v>
      </c>
      <c r="S5">
        <v>2.874545011609984</v>
      </c>
    </row>
    <row r="6" spans="1:19" x14ac:dyDescent="0.25">
      <c r="A6" s="45"/>
      <c r="B6" s="3">
        <v>1</v>
      </c>
      <c r="C6" s="4">
        <v>1095</v>
      </c>
      <c r="D6" s="4">
        <v>9923</v>
      </c>
      <c r="E6" s="4">
        <v>11.034969263327623</v>
      </c>
      <c r="F6" s="4">
        <v>792</v>
      </c>
      <c r="G6" s="4">
        <v>7987</v>
      </c>
      <c r="H6" s="4">
        <v>9.9161136847376987</v>
      </c>
      <c r="I6" s="4">
        <v>454</v>
      </c>
      <c r="J6" s="4">
        <v>7856</v>
      </c>
      <c r="K6" s="4">
        <v>5.7790224032586561</v>
      </c>
      <c r="L6" s="5">
        <v>8.9100351171079932</v>
      </c>
      <c r="M6" s="5">
        <v>2.7686440566006474</v>
      </c>
      <c r="O6">
        <v>3</v>
      </c>
      <c r="P6">
        <v>8.1881203801582831</v>
      </c>
      <c r="Q6">
        <v>3.6755204260274517</v>
      </c>
      <c r="R6">
        <v>7.4057273641726766</v>
      </c>
      <c r="S6">
        <v>5.6669491378324031</v>
      </c>
    </row>
    <row r="7" spans="1:19" x14ac:dyDescent="0.25">
      <c r="A7" s="45"/>
      <c r="B7" s="3">
        <v>3</v>
      </c>
      <c r="C7" s="4">
        <v>689</v>
      </c>
      <c r="D7" s="4">
        <v>15142</v>
      </c>
      <c r="E7" s="4">
        <v>4.5502575617487784</v>
      </c>
      <c r="F7" s="4">
        <v>1168</v>
      </c>
      <c r="G7" s="4">
        <v>14395</v>
      </c>
      <c r="H7" s="4">
        <v>8.1139284473775621</v>
      </c>
      <c r="I7" s="4">
        <v>1359</v>
      </c>
      <c r="J7" s="4">
        <v>11420</v>
      </c>
      <c r="K7" s="4">
        <v>11.900175131348512</v>
      </c>
      <c r="L7" s="5">
        <v>8.1881203801582831</v>
      </c>
      <c r="M7" s="5">
        <v>3.6755204260274517</v>
      </c>
      <c r="O7">
        <v>7</v>
      </c>
      <c r="P7">
        <v>10.237925885189815</v>
      </c>
      <c r="Q7">
        <v>3.1107215047983674</v>
      </c>
      <c r="R7">
        <v>1.5485175282234211</v>
      </c>
      <c r="S7">
        <v>0.25076682821334717</v>
      </c>
    </row>
    <row r="8" spans="1:19" x14ac:dyDescent="0.25">
      <c r="A8" s="45"/>
      <c r="B8" s="3">
        <v>7</v>
      </c>
      <c r="C8" s="4">
        <v>1598</v>
      </c>
      <c r="D8" s="4">
        <v>12003</v>
      </c>
      <c r="E8" s="4">
        <v>13.313338332083646</v>
      </c>
      <c r="F8" s="4">
        <v>1120</v>
      </c>
      <c r="G8" s="4">
        <v>10866</v>
      </c>
      <c r="H8" s="4">
        <v>10.307380820909257</v>
      </c>
      <c r="I8" s="4">
        <v>702</v>
      </c>
      <c r="J8" s="4">
        <v>9897</v>
      </c>
      <c r="K8" s="4">
        <v>7.0930585025765378</v>
      </c>
      <c r="L8" s="5">
        <v>10.237925885189815</v>
      </c>
      <c r="M8" s="5">
        <v>3.1107215047983674</v>
      </c>
      <c r="O8">
        <v>14</v>
      </c>
      <c r="P8">
        <v>25.572717535981678</v>
      </c>
      <c r="Q8">
        <v>7.0527032775967289</v>
      </c>
      <c r="R8">
        <v>4.8450117549234877</v>
      </c>
      <c r="S8">
        <v>1.1566759954411245</v>
      </c>
    </row>
    <row r="9" spans="1:19" x14ac:dyDescent="0.25">
      <c r="A9" s="45"/>
      <c r="B9" s="3">
        <v>14</v>
      </c>
      <c r="C9" s="4">
        <v>1676</v>
      </c>
      <c r="D9" s="4">
        <v>8985</v>
      </c>
      <c r="E9" s="4">
        <v>18.653311074012244</v>
      </c>
      <c r="F9" s="4">
        <v>2222</v>
      </c>
      <c r="G9" s="4">
        <v>8778</v>
      </c>
      <c r="H9" s="4">
        <v>25.313283208020049</v>
      </c>
      <c r="I9" s="4">
        <v>3678</v>
      </c>
      <c r="J9" s="4">
        <v>11230</v>
      </c>
      <c r="K9" s="4">
        <v>32.751558325912733</v>
      </c>
      <c r="L9" s="5">
        <v>25.572717535981678</v>
      </c>
      <c r="M9" s="5">
        <v>7.0527032775967289</v>
      </c>
    </row>
    <row r="10" spans="1:19" x14ac:dyDescent="0.25">
      <c r="A10" s="45"/>
      <c r="B10" s="3" t="s">
        <v>7</v>
      </c>
      <c r="C10" s="6"/>
      <c r="D10" s="6"/>
      <c r="E10" s="6"/>
      <c r="F10" s="4"/>
      <c r="G10" s="4"/>
      <c r="H10" s="6"/>
      <c r="I10" s="4"/>
      <c r="J10" s="4"/>
      <c r="K10" s="6"/>
      <c r="L10" s="4"/>
      <c r="M10" s="4"/>
    </row>
    <row r="11" spans="1:19" x14ac:dyDescent="0.25">
      <c r="A11" s="45"/>
      <c r="B11" s="3" t="s">
        <v>11</v>
      </c>
      <c r="C11" s="6"/>
      <c r="D11" s="6"/>
      <c r="E11" s="6"/>
      <c r="F11" s="4"/>
      <c r="G11" s="4"/>
      <c r="H11" s="6"/>
      <c r="I11" s="4"/>
      <c r="J11" s="4"/>
      <c r="K11" s="6"/>
      <c r="L11" s="4"/>
      <c r="M11" s="4"/>
      <c r="N11" t="s">
        <v>18</v>
      </c>
    </row>
    <row r="12" spans="1:19" x14ac:dyDescent="0.25">
      <c r="A12" s="45" t="s">
        <v>10</v>
      </c>
      <c r="B12" s="3">
        <v>0</v>
      </c>
      <c r="C12" s="4">
        <v>694</v>
      </c>
      <c r="D12" s="4">
        <v>14268</v>
      </c>
      <c r="E12" s="4">
        <v>4.8640313989346788</v>
      </c>
      <c r="F12" s="4">
        <v>428</v>
      </c>
      <c r="G12" s="4">
        <v>12612</v>
      </c>
      <c r="H12" s="4">
        <v>3.3935934031081505</v>
      </c>
      <c r="I12" s="4">
        <v>177</v>
      </c>
      <c r="J12" s="4">
        <v>10128</v>
      </c>
      <c r="K12" s="4">
        <v>1.7476303317535544</v>
      </c>
      <c r="L12" s="5">
        <v>3.3350850445987952</v>
      </c>
      <c r="M12" s="5">
        <v>1.5590241575721338</v>
      </c>
      <c r="N12">
        <v>3.9933511154288991E-3</v>
      </c>
    </row>
    <row r="13" spans="1:19" x14ac:dyDescent="0.25">
      <c r="A13" s="45"/>
      <c r="B13" s="3">
        <v>0.25</v>
      </c>
      <c r="C13" s="4">
        <v>514</v>
      </c>
      <c r="D13" s="4">
        <v>3681</v>
      </c>
      <c r="E13" s="4">
        <v>13.963596848682421</v>
      </c>
      <c r="F13" s="4">
        <v>505</v>
      </c>
      <c r="G13" s="4">
        <v>3392</v>
      </c>
      <c r="H13" s="4">
        <v>14.887971698113208</v>
      </c>
      <c r="I13" s="4">
        <v>416</v>
      </c>
      <c r="J13" s="4">
        <v>3038</v>
      </c>
      <c r="K13" s="4">
        <v>13.69321922317314</v>
      </c>
      <c r="L13" s="5">
        <v>14.181595923322924</v>
      </c>
      <c r="M13" s="5">
        <v>0.62649905546771678</v>
      </c>
      <c r="N13">
        <v>0.70841217731259354</v>
      </c>
    </row>
    <row r="14" spans="1:19" x14ac:dyDescent="0.25">
      <c r="A14" s="45"/>
      <c r="B14" s="3">
        <v>1</v>
      </c>
      <c r="C14" s="4">
        <v>1318</v>
      </c>
      <c r="D14" s="4">
        <v>12239</v>
      </c>
      <c r="E14" s="4">
        <v>10.768853664515076</v>
      </c>
      <c r="F14" s="4">
        <v>951</v>
      </c>
      <c r="G14" s="4">
        <v>15492</v>
      </c>
      <c r="H14" s="4">
        <v>6.1386522075910142</v>
      </c>
      <c r="I14" s="4">
        <v>674</v>
      </c>
      <c r="J14" s="4">
        <v>12249</v>
      </c>
      <c r="K14" s="4">
        <v>5.5024899991836067</v>
      </c>
      <c r="L14" s="5">
        <v>7.4699986237632316</v>
      </c>
      <c r="M14" s="5">
        <v>2.874545011609984</v>
      </c>
      <c r="N14">
        <v>0.56588329255520731</v>
      </c>
    </row>
    <row r="15" spans="1:19" x14ac:dyDescent="0.25">
      <c r="A15" s="45"/>
      <c r="B15" s="3">
        <v>3</v>
      </c>
      <c r="C15" s="4">
        <v>171</v>
      </c>
      <c r="D15" s="4">
        <v>9090</v>
      </c>
      <c r="E15" s="4">
        <v>1.8811881188118811</v>
      </c>
      <c r="F15" s="4">
        <v>682</v>
      </c>
      <c r="G15" s="4">
        <v>9564</v>
      </c>
      <c r="H15" s="4">
        <v>7.1309075700543705</v>
      </c>
      <c r="I15" s="4">
        <v>1215</v>
      </c>
      <c r="J15" s="4">
        <v>9201</v>
      </c>
      <c r="K15" s="4">
        <v>13.205086403651778</v>
      </c>
      <c r="L15" s="5">
        <v>7.4057273641726766</v>
      </c>
      <c r="M15" s="5">
        <v>5.6669491378324031</v>
      </c>
      <c r="N15">
        <v>0.85077812952125353</v>
      </c>
    </row>
    <row r="16" spans="1:19" x14ac:dyDescent="0.25">
      <c r="A16" s="45"/>
      <c r="B16" s="3">
        <v>7</v>
      </c>
      <c r="C16" s="4">
        <v>138</v>
      </c>
      <c r="D16" s="4">
        <v>9856</v>
      </c>
      <c r="E16" s="4">
        <v>1.4001623376623376</v>
      </c>
      <c r="F16" s="4">
        <v>143</v>
      </c>
      <c r="G16" s="4">
        <v>10161</v>
      </c>
      <c r="H16" s="4">
        <v>1.4073417970672177</v>
      </c>
      <c r="I16" s="4">
        <v>217</v>
      </c>
      <c r="J16" s="4">
        <v>11806</v>
      </c>
      <c r="K16" s="4">
        <v>1.8380484499407082</v>
      </c>
      <c r="L16" s="5">
        <v>1.5485175282234211</v>
      </c>
      <c r="M16" s="5">
        <v>0.25076682821334717</v>
      </c>
      <c r="N16">
        <v>8.5067869256407296E-3</v>
      </c>
    </row>
    <row r="17" spans="1:19" x14ac:dyDescent="0.25">
      <c r="A17" s="45"/>
      <c r="B17" s="3">
        <v>14</v>
      </c>
      <c r="C17" s="4">
        <v>276</v>
      </c>
      <c r="D17" s="4">
        <v>7863</v>
      </c>
      <c r="E17" s="4">
        <v>3.5101106447920638</v>
      </c>
      <c r="F17" s="4">
        <v>282</v>
      </c>
      <c r="G17" s="4">
        <v>5151</v>
      </c>
      <c r="H17" s="4">
        <v>5.4746651135701807</v>
      </c>
      <c r="I17" s="4">
        <v>524</v>
      </c>
      <c r="J17" s="4">
        <v>9441</v>
      </c>
      <c r="K17" s="4">
        <v>5.550259506408219</v>
      </c>
      <c r="L17" s="5">
        <v>4.8450117549234877</v>
      </c>
      <c r="M17" s="5">
        <v>1.1566759954411245</v>
      </c>
      <c r="N17">
        <v>7.3679760415677536E-3</v>
      </c>
    </row>
    <row r="18" spans="1:19" x14ac:dyDescent="0.25">
      <c r="A18" s="45"/>
      <c r="B18" s="3" t="s">
        <v>7</v>
      </c>
      <c r="C18" s="6"/>
      <c r="D18" s="6"/>
      <c r="E18" s="6"/>
      <c r="F18" s="4"/>
      <c r="G18" s="4"/>
      <c r="H18" s="6"/>
      <c r="I18" s="4"/>
      <c r="J18" s="4"/>
      <c r="K18" s="6"/>
      <c r="L18" s="4"/>
      <c r="M18" s="4"/>
    </row>
    <row r="19" spans="1:19" x14ac:dyDescent="0.25">
      <c r="A19" s="45"/>
      <c r="B19" s="3" t="s">
        <v>11</v>
      </c>
      <c r="C19" s="6"/>
      <c r="D19" s="6"/>
      <c r="E19" s="6"/>
      <c r="F19" s="4"/>
      <c r="G19" s="4"/>
      <c r="H19" s="6"/>
      <c r="I19" s="4"/>
      <c r="J19" s="4"/>
      <c r="K19" s="6"/>
      <c r="L19" s="4"/>
      <c r="M19" s="4"/>
    </row>
    <row r="23" spans="1:19" x14ac:dyDescent="0.25">
      <c r="A23" t="s">
        <v>51</v>
      </c>
    </row>
    <row r="24" spans="1:19" x14ac:dyDescent="0.25">
      <c r="A24" s="47" t="s">
        <v>13</v>
      </c>
      <c r="B24" s="47" t="s">
        <v>19</v>
      </c>
      <c r="C24" s="50">
        <v>1</v>
      </c>
      <c r="D24" s="51"/>
      <c r="E24" s="52"/>
      <c r="F24" s="50">
        <v>2</v>
      </c>
      <c r="G24" s="51"/>
      <c r="H24" s="52"/>
      <c r="I24" s="50">
        <v>3</v>
      </c>
      <c r="J24" s="51"/>
      <c r="K24" s="52"/>
      <c r="L24" s="3" t="s">
        <v>92</v>
      </c>
      <c r="M24" s="3" t="s">
        <v>11</v>
      </c>
      <c r="P24" t="s">
        <v>16</v>
      </c>
      <c r="R24" t="s">
        <v>17</v>
      </c>
    </row>
    <row r="25" spans="1:19" x14ac:dyDescent="0.25">
      <c r="A25" s="49"/>
      <c r="B25" s="49"/>
      <c r="C25" s="3" t="s">
        <v>22</v>
      </c>
      <c r="D25" s="3" t="s">
        <v>21</v>
      </c>
      <c r="E25" s="3" t="s">
        <v>6</v>
      </c>
      <c r="F25" s="3" t="s">
        <v>22</v>
      </c>
      <c r="G25" s="3" t="s">
        <v>21</v>
      </c>
      <c r="H25" s="3" t="s">
        <v>6</v>
      </c>
      <c r="I25" s="3" t="s">
        <v>22</v>
      </c>
      <c r="J25" s="3" t="s">
        <v>21</v>
      </c>
      <c r="K25" s="3" t="s">
        <v>6</v>
      </c>
      <c r="L25" s="3" t="s">
        <v>6</v>
      </c>
      <c r="M25" s="3" t="s">
        <v>6</v>
      </c>
      <c r="O25">
        <v>0</v>
      </c>
      <c r="P25">
        <v>88.905959207414426</v>
      </c>
      <c r="Q25">
        <v>26.268205418245287</v>
      </c>
      <c r="R25">
        <v>66.910351787238596</v>
      </c>
      <c r="S25">
        <v>13.209173665167027</v>
      </c>
    </row>
    <row r="26" spans="1:19" x14ac:dyDescent="0.25">
      <c r="A26" s="47" t="s">
        <v>9</v>
      </c>
      <c r="B26" s="3">
        <v>0</v>
      </c>
      <c r="C26" s="4">
        <v>8348</v>
      </c>
      <c r="D26" s="4">
        <v>9899</v>
      </c>
      <c r="E26" s="4">
        <v>84.331750681887058</v>
      </c>
      <c r="F26" s="4">
        <v>12091</v>
      </c>
      <c r="G26" s="4">
        <v>10320</v>
      </c>
      <c r="H26" s="4">
        <v>117.16085271317829</v>
      </c>
      <c r="I26" s="4">
        <v>7195</v>
      </c>
      <c r="J26" s="4">
        <v>11031</v>
      </c>
      <c r="K26" s="4">
        <v>65.225274227177948</v>
      </c>
      <c r="L26" s="5">
        <v>88.905959207414426</v>
      </c>
      <c r="M26" s="5">
        <v>26.268205418245287</v>
      </c>
      <c r="O26">
        <v>0.25</v>
      </c>
      <c r="P26">
        <v>54.514716861675929</v>
      </c>
      <c r="Q26">
        <v>2.7616449676653065</v>
      </c>
      <c r="R26">
        <v>59.555424295620163</v>
      </c>
      <c r="S26">
        <v>4.6347771875133361</v>
      </c>
    </row>
    <row r="27" spans="1:19" x14ac:dyDescent="0.25">
      <c r="A27" s="48"/>
      <c r="B27" s="3">
        <v>0.25</v>
      </c>
      <c r="C27" s="4">
        <v>2001</v>
      </c>
      <c r="D27" s="4">
        <v>3531</v>
      </c>
      <c r="E27" s="4">
        <v>56.669498725573497</v>
      </c>
      <c r="F27" s="4">
        <v>1522</v>
      </c>
      <c r="G27" s="4">
        <v>2961</v>
      </c>
      <c r="H27" s="4">
        <v>51.401553529213103</v>
      </c>
      <c r="I27" s="4">
        <v>1196</v>
      </c>
      <c r="J27" s="4">
        <v>2156</v>
      </c>
      <c r="K27" s="4">
        <v>55.473098330241186</v>
      </c>
      <c r="L27" s="5">
        <v>54.514716861675929</v>
      </c>
      <c r="M27" s="5">
        <v>2.7616449676653065</v>
      </c>
      <c r="O27">
        <v>1</v>
      </c>
      <c r="P27">
        <v>57.507800697460318</v>
      </c>
      <c r="Q27">
        <v>6.522936490851559</v>
      </c>
      <c r="R27">
        <v>55.884839030771047</v>
      </c>
      <c r="S27">
        <v>3.1132202051194562</v>
      </c>
    </row>
    <row r="28" spans="1:19" x14ac:dyDescent="0.25">
      <c r="A28" s="48"/>
      <c r="B28" s="3">
        <v>1</v>
      </c>
      <c r="C28" s="4">
        <v>4916</v>
      </c>
      <c r="D28" s="4">
        <v>9312</v>
      </c>
      <c r="E28" s="4">
        <v>52.792096219931274</v>
      </c>
      <c r="F28" s="4">
        <v>6149</v>
      </c>
      <c r="G28" s="4">
        <v>9467</v>
      </c>
      <c r="H28" s="4">
        <v>64.95193831203126</v>
      </c>
      <c r="I28" s="4">
        <v>4556</v>
      </c>
      <c r="J28" s="4">
        <v>8317</v>
      </c>
      <c r="K28" s="4">
        <v>54.779367560418422</v>
      </c>
      <c r="L28" s="5">
        <v>57.507800697460318</v>
      </c>
      <c r="M28" s="5">
        <v>6.522936490851559</v>
      </c>
      <c r="O28">
        <v>3</v>
      </c>
      <c r="P28">
        <v>90.36950726867137</v>
      </c>
      <c r="Q28">
        <v>15.664667028257121</v>
      </c>
      <c r="R28">
        <v>76.693023096495878</v>
      </c>
      <c r="S28">
        <v>9.482620595526317</v>
      </c>
    </row>
    <row r="29" spans="1:19" x14ac:dyDescent="0.25">
      <c r="A29" s="48"/>
      <c r="B29" s="3">
        <v>3</v>
      </c>
      <c r="C29" s="4">
        <v>8961</v>
      </c>
      <c r="D29" s="4">
        <v>11523</v>
      </c>
      <c r="E29" s="4">
        <v>77.766206717000784</v>
      </c>
      <c r="F29" s="4">
        <v>8699</v>
      </c>
      <c r="G29" s="4">
        <v>10182</v>
      </c>
      <c r="H29" s="4">
        <v>85.435081516401496</v>
      </c>
      <c r="I29" s="4">
        <v>9771</v>
      </c>
      <c r="J29" s="4">
        <v>9055</v>
      </c>
      <c r="K29" s="4">
        <v>107.90723357261183</v>
      </c>
      <c r="L29" s="5">
        <v>90.36950726867137</v>
      </c>
      <c r="M29" s="5">
        <v>15.664667028257121</v>
      </c>
      <c r="O29">
        <v>7</v>
      </c>
      <c r="P29">
        <v>101.264492909466</v>
      </c>
      <c r="Q29">
        <v>13.836665397403662</v>
      </c>
      <c r="R29">
        <v>51.332115431174429</v>
      </c>
      <c r="S29">
        <v>5.2660622613535404</v>
      </c>
    </row>
    <row r="30" spans="1:19" x14ac:dyDescent="0.25">
      <c r="A30" s="48"/>
      <c r="B30" s="3">
        <v>7</v>
      </c>
      <c r="C30" s="4">
        <v>14084</v>
      </c>
      <c r="D30" s="4">
        <v>12175</v>
      </c>
      <c r="E30" s="4">
        <v>115.67967145790554</v>
      </c>
      <c r="F30" s="4">
        <v>12545</v>
      </c>
      <c r="G30" s="4">
        <v>12542</v>
      </c>
      <c r="H30" s="4">
        <v>100.02391963004304</v>
      </c>
      <c r="I30" s="4">
        <v>9016</v>
      </c>
      <c r="J30" s="4">
        <v>10235</v>
      </c>
      <c r="K30" s="4">
        <v>88.089887640449433</v>
      </c>
      <c r="L30" s="5">
        <v>101.264492909466</v>
      </c>
      <c r="M30" s="5">
        <v>13.836665397403662</v>
      </c>
      <c r="O30">
        <v>14</v>
      </c>
      <c r="P30">
        <v>74.082839728624705</v>
      </c>
      <c r="Q30">
        <v>7.4956325005414604</v>
      </c>
      <c r="R30">
        <v>50.262825006897081</v>
      </c>
      <c r="S30">
        <v>9.8681284087220593</v>
      </c>
    </row>
    <row r="31" spans="1:19" x14ac:dyDescent="0.25">
      <c r="A31" s="48"/>
      <c r="B31" s="3">
        <v>14</v>
      </c>
      <c r="C31" s="4">
        <v>6432</v>
      </c>
      <c r="D31" s="4">
        <v>9632</v>
      </c>
      <c r="E31" s="4">
        <v>66.777408637873762</v>
      </c>
      <c r="F31" s="4">
        <v>11381</v>
      </c>
      <c r="G31" s="4">
        <v>15439</v>
      </c>
      <c r="H31" s="4">
        <v>73.715914243150465</v>
      </c>
      <c r="I31" s="4">
        <v>9912</v>
      </c>
      <c r="J31" s="4">
        <v>12124</v>
      </c>
      <c r="K31" s="4">
        <v>81.755196304849889</v>
      </c>
      <c r="L31" s="5">
        <v>74.082839728624705</v>
      </c>
      <c r="M31" s="5">
        <v>7.4956325005414604</v>
      </c>
    </row>
    <row r="32" spans="1:19" x14ac:dyDescent="0.25">
      <c r="A32" s="48"/>
      <c r="B32" s="3" t="s">
        <v>7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8" x14ac:dyDescent="0.25">
      <c r="A33" s="49"/>
      <c r="B33" s="3" t="s">
        <v>11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t="s">
        <v>18</v>
      </c>
    </row>
    <row r="34" spans="1:18" x14ac:dyDescent="0.25">
      <c r="A34" s="47" t="s">
        <v>10</v>
      </c>
      <c r="B34" s="3">
        <v>0</v>
      </c>
      <c r="C34" s="4">
        <v>5552</v>
      </c>
      <c r="D34" s="4">
        <v>10123</v>
      </c>
      <c r="E34" s="4">
        <v>54.845401560802131</v>
      </c>
      <c r="F34" s="4">
        <v>9521</v>
      </c>
      <c r="G34" s="4">
        <v>14679</v>
      </c>
      <c r="H34" s="4">
        <v>64.861366578104779</v>
      </c>
      <c r="I34" s="4">
        <v>7673</v>
      </c>
      <c r="J34" s="4">
        <v>9470</v>
      </c>
      <c r="K34" s="4">
        <v>81.024287222808866</v>
      </c>
      <c r="L34" s="5">
        <v>66.910351787238596</v>
      </c>
      <c r="M34" s="5">
        <v>13.209173665167027</v>
      </c>
      <c r="N34">
        <v>0.26478240232887151</v>
      </c>
    </row>
    <row r="35" spans="1:18" x14ac:dyDescent="0.25">
      <c r="A35" s="48"/>
      <c r="B35" s="3">
        <v>0.25</v>
      </c>
      <c r="C35" s="4">
        <v>1476</v>
      </c>
      <c r="D35" s="4">
        <v>2305</v>
      </c>
      <c r="E35" s="4">
        <v>64.034707158351409</v>
      </c>
      <c r="F35" s="4">
        <v>2348</v>
      </c>
      <c r="G35" s="4">
        <v>3923</v>
      </c>
      <c r="H35" s="4">
        <v>59.852153963803211</v>
      </c>
      <c r="I35" s="4">
        <v>1937</v>
      </c>
      <c r="J35" s="4">
        <v>3536</v>
      </c>
      <c r="K35" s="4">
        <v>54.779411764705884</v>
      </c>
      <c r="L35" s="5">
        <v>59.555424295620163</v>
      </c>
      <c r="M35" s="5">
        <v>4.6347771875133361</v>
      </c>
      <c r="N35">
        <v>0.18091801229169041</v>
      </c>
    </row>
    <row r="36" spans="1:18" x14ac:dyDescent="0.25">
      <c r="A36" s="48"/>
      <c r="B36" s="3">
        <v>1</v>
      </c>
      <c r="C36" s="4">
        <v>5651</v>
      </c>
      <c r="D36" s="4">
        <v>9556</v>
      </c>
      <c r="E36" s="4">
        <v>59.135621598995392</v>
      </c>
      <c r="F36" s="4">
        <v>5762</v>
      </c>
      <c r="G36" s="4">
        <v>10886</v>
      </c>
      <c r="H36" s="4">
        <v>52.930369281646151</v>
      </c>
      <c r="I36" s="4">
        <v>4496</v>
      </c>
      <c r="J36" s="4">
        <v>8088</v>
      </c>
      <c r="K36" s="4">
        <v>55.588526211671606</v>
      </c>
      <c r="L36" s="5">
        <v>55.884839030771047</v>
      </c>
      <c r="M36" s="5">
        <v>3.1132202051194562</v>
      </c>
      <c r="N36">
        <v>0.7171488899148406</v>
      </c>
    </row>
    <row r="37" spans="1:18" x14ac:dyDescent="0.25">
      <c r="A37" s="48"/>
      <c r="B37" s="3">
        <v>3</v>
      </c>
      <c r="C37" s="4">
        <v>5458</v>
      </c>
      <c r="D37" s="4">
        <v>8262</v>
      </c>
      <c r="E37" s="4">
        <v>66.061486322924239</v>
      </c>
      <c r="F37" s="4">
        <v>3924</v>
      </c>
      <c r="G37" s="4">
        <v>4921</v>
      </c>
      <c r="H37" s="4">
        <v>79.739890266206061</v>
      </c>
      <c r="I37" s="4">
        <v>6604</v>
      </c>
      <c r="J37" s="4">
        <v>7836</v>
      </c>
      <c r="K37" s="4">
        <v>84.277692700357321</v>
      </c>
      <c r="L37" s="5">
        <v>76.693023096495878</v>
      </c>
      <c r="M37" s="5">
        <v>9.482620595526317</v>
      </c>
      <c r="N37">
        <v>0.26543183436393464</v>
      </c>
    </row>
    <row r="38" spans="1:18" x14ac:dyDescent="0.25">
      <c r="A38" s="48"/>
      <c r="B38" s="3">
        <v>7</v>
      </c>
      <c r="C38" s="4">
        <v>3574</v>
      </c>
      <c r="D38" s="4">
        <v>7749</v>
      </c>
      <c r="E38" s="4">
        <v>46.122080268421733</v>
      </c>
      <c r="F38" s="4">
        <v>4926</v>
      </c>
      <c r="G38" s="4">
        <v>9617</v>
      </c>
      <c r="H38" s="4">
        <v>51.221794738483936</v>
      </c>
      <c r="I38" s="4">
        <v>4390</v>
      </c>
      <c r="J38" s="4">
        <v>7749</v>
      </c>
      <c r="K38" s="4">
        <v>56.652471286617626</v>
      </c>
      <c r="L38" s="5">
        <v>51.332115431174429</v>
      </c>
      <c r="M38" s="5">
        <v>5.2660622613535404</v>
      </c>
      <c r="N38">
        <v>4.2814020299336798E-3</v>
      </c>
    </row>
    <row r="39" spans="1:18" x14ac:dyDescent="0.25">
      <c r="A39" s="48"/>
      <c r="B39" s="3">
        <v>14</v>
      </c>
      <c r="C39" s="4">
        <v>3663</v>
      </c>
      <c r="D39" s="4">
        <v>9060</v>
      </c>
      <c r="E39" s="4">
        <v>40.430463576158942</v>
      </c>
      <c r="F39" s="4">
        <v>3666</v>
      </c>
      <c r="G39" s="4">
        <v>7304</v>
      </c>
      <c r="H39" s="4">
        <v>50.191675794085434</v>
      </c>
      <c r="I39" s="4">
        <v>4847</v>
      </c>
      <c r="J39" s="4">
        <v>8056</v>
      </c>
      <c r="K39" s="4">
        <v>60.166335650446868</v>
      </c>
      <c r="L39" s="5">
        <v>50.262825006897081</v>
      </c>
      <c r="M39" s="5">
        <v>9.8681284087220593</v>
      </c>
      <c r="N39">
        <v>2.9123751628595602E-2</v>
      </c>
    </row>
    <row r="40" spans="1:18" x14ac:dyDescent="0.25">
      <c r="A40" s="48"/>
      <c r="B40" s="3" t="s">
        <v>7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8" x14ac:dyDescent="0.25">
      <c r="A41" s="49"/>
      <c r="B41" s="3" t="s">
        <v>11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6" spans="1:18" x14ac:dyDescent="0.25">
      <c r="A46" t="s">
        <v>24</v>
      </c>
    </row>
    <row r="47" spans="1:18" x14ac:dyDescent="0.25">
      <c r="A47" s="45" t="s">
        <v>13</v>
      </c>
      <c r="B47" s="45" t="s">
        <v>14</v>
      </c>
      <c r="C47" s="46">
        <v>1</v>
      </c>
      <c r="D47" s="46"/>
      <c r="E47" s="46">
        <v>2</v>
      </c>
      <c r="F47" s="46"/>
      <c r="G47" s="46">
        <v>3</v>
      </c>
      <c r="H47" s="46"/>
      <c r="I47" s="46">
        <v>4</v>
      </c>
      <c r="J47" s="46"/>
      <c r="K47" s="3" t="s">
        <v>92</v>
      </c>
      <c r="L47" s="3" t="s">
        <v>11</v>
      </c>
      <c r="O47" t="s">
        <v>9</v>
      </c>
      <c r="Q47" t="s">
        <v>10</v>
      </c>
    </row>
    <row r="48" spans="1:18" x14ac:dyDescent="0.25">
      <c r="A48" s="45"/>
      <c r="B48" s="45"/>
      <c r="C48" s="3" t="s">
        <v>13</v>
      </c>
      <c r="D48" s="3" t="s">
        <v>25</v>
      </c>
      <c r="E48" s="3" t="s">
        <v>13</v>
      </c>
      <c r="F48" s="3" t="s">
        <v>25</v>
      </c>
      <c r="G48" s="3" t="s">
        <v>13</v>
      </c>
      <c r="H48" s="3" t="s">
        <v>25</v>
      </c>
      <c r="I48" s="3" t="s">
        <v>13</v>
      </c>
      <c r="J48" s="3" t="s">
        <v>25</v>
      </c>
      <c r="K48" s="3" t="s">
        <v>25</v>
      </c>
      <c r="L48" s="3" t="s">
        <v>25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 x14ac:dyDescent="0.25">
      <c r="A49" s="45" t="s">
        <v>9</v>
      </c>
      <c r="B49" s="3">
        <v>0</v>
      </c>
      <c r="C49" s="4">
        <v>25</v>
      </c>
      <c r="D49" s="4">
        <v>0</v>
      </c>
      <c r="E49" s="4">
        <v>102</v>
      </c>
      <c r="F49" s="4">
        <v>0</v>
      </c>
      <c r="G49" s="4">
        <v>31</v>
      </c>
      <c r="H49" s="4">
        <v>0</v>
      </c>
      <c r="I49" s="4">
        <v>71</v>
      </c>
      <c r="J49" s="4">
        <v>0</v>
      </c>
      <c r="K49" s="5">
        <v>0</v>
      </c>
      <c r="L49" s="5">
        <v>0</v>
      </c>
      <c r="N49">
        <v>3</v>
      </c>
      <c r="O49">
        <v>5.18047500690417E-2</v>
      </c>
      <c r="P49">
        <v>4.2012268453170465E-2</v>
      </c>
      <c r="Q49">
        <v>5.4546199750803326E-2</v>
      </c>
      <c r="R49">
        <v>6.9110609963404138E-2</v>
      </c>
    </row>
    <row r="50" spans="1:18" x14ac:dyDescent="0.25">
      <c r="A50" s="45"/>
      <c r="B50" s="3">
        <v>3</v>
      </c>
      <c r="C50" s="4">
        <v>26</v>
      </c>
      <c r="D50" s="4">
        <v>0.04</v>
      </c>
      <c r="E50" s="4">
        <v>109</v>
      </c>
      <c r="F50" s="4">
        <v>6.8627450980392163E-2</v>
      </c>
      <c r="G50" s="4">
        <v>31</v>
      </c>
      <c r="H50" s="4">
        <v>0</v>
      </c>
      <c r="I50" s="4">
        <v>78</v>
      </c>
      <c r="J50" s="4">
        <v>9.8591549295774641E-2</v>
      </c>
      <c r="K50" s="5">
        <v>5.18047500690417E-2</v>
      </c>
      <c r="L50" s="5">
        <v>4.2012268453170465E-2</v>
      </c>
      <c r="N50">
        <v>7</v>
      </c>
      <c r="O50">
        <v>0.20293182243365313</v>
      </c>
      <c r="P50">
        <v>8.7883894223573289E-2</v>
      </c>
      <c r="Q50">
        <v>0.202950357400485</v>
      </c>
      <c r="R50">
        <v>9.9694307531236051E-2</v>
      </c>
    </row>
    <row r="51" spans="1:18" x14ac:dyDescent="0.25">
      <c r="A51" s="45"/>
      <c r="B51" s="3">
        <v>7</v>
      </c>
      <c r="C51" s="4">
        <v>30</v>
      </c>
      <c r="D51" s="4">
        <v>0.2</v>
      </c>
      <c r="E51" s="4">
        <v>120</v>
      </c>
      <c r="F51" s="4">
        <v>0.17647058823529413</v>
      </c>
      <c r="G51" s="4">
        <v>41</v>
      </c>
      <c r="H51" s="4">
        <v>0.32258064516129031</v>
      </c>
      <c r="I51" s="4">
        <v>79</v>
      </c>
      <c r="J51" s="4">
        <v>0.11267605633802817</v>
      </c>
      <c r="K51" s="5">
        <v>0.20293182243365313</v>
      </c>
      <c r="L51" s="5">
        <v>8.7883894223573289E-2</v>
      </c>
      <c r="N51">
        <v>14</v>
      </c>
      <c r="O51">
        <v>0.52298554133148034</v>
      </c>
      <c r="P51">
        <v>9.9800005705153141E-2</v>
      </c>
      <c r="Q51">
        <v>0.42150796773558918</v>
      </c>
      <c r="R51">
        <v>0.13876018849637287</v>
      </c>
    </row>
    <row r="52" spans="1:18" x14ac:dyDescent="0.25">
      <c r="A52" s="45"/>
      <c r="B52" s="3">
        <v>14</v>
      </c>
      <c r="C52" s="4">
        <v>40</v>
      </c>
      <c r="D52" s="4">
        <v>0.6</v>
      </c>
      <c r="E52" s="4">
        <v>150</v>
      </c>
      <c r="F52" s="4">
        <v>0.47058823529411764</v>
      </c>
      <c r="G52" s="4">
        <v>50</v>
      </c>
      <c r="H52" s="4">
        <v>0.61290322580645162</v>
      </c>
      <c r="I52" s="4">
        <v>100</v>
      </c>
      <c r="J52" s="4">
        <v>0.40845070422535212</v>
      </c>
      <c r="K52" s="5">
        <v>0.52298554133148034</v>
      </c>
      <c r="L52" s="5">
        <v>9.9800005705153141E-2</v>
      </c>
      <c r="N52">
        <v>21</v>
      </c>
      <c r="O52">
        <v>0.98583264291632156</v>
      </c>
      <c r="P52">
        <v>0.12883942431821657</v>
      </c>
      <c r="Q52">
        <v>0.60819534614291648</v>
      </c>
      <c r="R52">
        <v>0.1792605670660149</v>
      </c>
    </row>
    <row r="53" spans="1:18" x14ac:dyDescent="0.25">
      <c r="A53" s="45"/>
      <c r="B53" s="3">
        <v>21</v>
      </c>
      <c r="C53" s="4">
        <v>45</v>
      </c>
      <c r="D53" s="4">
        <v>0.8</v>
      </c>
      <c r="E53" s="4">
        <v>210</v>
      </c>
      <c r="F53" s="4">
        <v>1.0588235294117647</v>
      </c>
      <c r="G53" s="4">
        <v>62</v>
      </c>
      <c r="H53" s="4">
        <v>1</v>
      </c>
      <c r="I53" s="4">
        <v>148</v>
      </c>
      <c r="J53" s="4">
        <v>1.0845070422535212</v>
      </c>
      <c r="K53" s="5">
        <v>0.98583264291632156</v>
      </c>
      <c r="L53" s="5">
        <v>0.12883942431821657</v>
      </c>
      <c r="N53">
        <v>28</v>
      </c>
      <c r="O53">
        <v>1.0552954539380495</v>
      </c>
      <c r="P53">
        <v>0.1175357626574344</v>
      </c>
      <c r="Q53">
        <v>0.62852072267033898</v>
      </c>
      <c r="R53">
        <v>0.1392532569845979</v>
      </c>
    </row>
    <row r="54" spans="1:18" x14ac:dyDescent="0.25">
      <c r="A54" s="45"/>
      <c r="B54" s="3">
        <v>28</v>
      </c>
      <c r="C54" s="4">
        <v>47</v>
      </c>
      <c r="D54" s="4">
        <v>0.88</v>
      </c>
      <c r="E54" s="4">
        <v>216</v>
      </c>
      <c r="F54" s="4">
        <v>1.1176470588235294</v>
      </c>
      <c r="G54" s="4">
        <v>65</v>
      </c>
      <c r="H54" s="4">
        <v>1.096774193548387</v>
      </c>
      <c r="I54" s="4">
        <v>151</v>
      </c>
      <c r="J54" s="4">
        <v>1.1267605633802817</v>
      </c>
      <c r="K54" s="5">
        <v>1.0552954539380495</v>
      </c>
      <c r="L54" s="5">
        <v>0.1175357626574344</v>
      </c>
    </row>
    <row r="55" spans="1:18" x14ac:dyDescent="0.25">
      <c r="A55" s="45"/>
      <c r="B55" s="3" t="s">
        <v>7</v>
      </c>
      <c r="C55" s="6"/>
      <c r="D55" s="6"/>
      <c r="E55" s="6"/>
      <c r="F55" s="6"/>
      <c r="G55" s="6"/>
      <c r="H55" s="6"/>
      <c r="I55" s="6"/>
      <c r="J55" s="6"/>
      <c r="K55" s="4"/>
      <c r="L55" s="4"/>
    </row>
    <row r="56" spans="1:18" x14ac:dyDescent="0.25">
      <c r="A56" s="45"/>
      <c r="B56" s="3" t="s">
        <v>11</v>
      </c>
      <c r="C56" s="6"/>
      <c r="D56" s="6"/>
      <c r="E56" s="6"/>
      <c r="F56" s="6"/>
      <c r="G56" s="6"/>
      <c r="H56" s="6"/>
      <c r="I56" s="6"/>
      <c r="J56" s="6"/>
      <c r="K56" s="4"/>
      <c r="L56" s="4"/>
      <c r="M56" t="s">
        <v>18</v>
      </c>
    </row>
    <row r="57" spans="1:18" x14ac:dyDescent="0.25">
      <c r="A57" s="45" t="s">
        <v>10</v>
      </c>
      <c r="B57" s="3">
        <v>0</v>
      </c>
      <c r="C57" s="4">
        <v>156</v>
      </c>
      <c r="D57" s="4">
        <v>0</v>
      </c>
      <c r="E57" s="4">
        <v>102</v>
      </c>
      <c r="F57" s="4">
        <v>0</v>
      </c>
      <c r="G57" s="4">
        <v>92</v>
      </c>
      <c r="H57" s="4">
        <v>0</v>
      </c>
      <c r="I57" s="4">
        <v>45</v>
      </c>
      <c r="J57" s="4">
        <v>0</v>
      </c>
      <c r="K57" s="5">
        <v>0</v>
      </c>
      <c r="L57" s="5">
        <v>0</v>
      </c>
      <c r="M57" t="e">
        <v>#DIV/0!</v>
      </c>
    </row>
    <row r="58" spans="1:18" x14ac:dyDescent="0.25">
      <c r="A58" s="45"/>
      <c r="B58" s="3">
        <v>3</v>
      </c>
      <c r="C58" s="4">
        <v>155</v>
      </c>
      <c r="D58" s="4">
        <v>-6.41025641025641E-3</v>
      </c>
      <c r="E58" s="4">
        <v>117</v>
      </c>
      <c r="F58" s="4">
        <v>0.14705882352941177</v>
      </c>
      <c r="G58" s="4">
        <v>93</v>
      </c>
      <c r="H58" s="4">
        <v>1.0869565217391304E-2</v>
      </c>
      <c r="I58" s="4">
        <v>48</v>
      </c>
      <c r="J58" s="4">
        <v>6.6666666666666666E-2</v>
      </c>
      <c r="K58" s="5">
        <v>5.4546199750803326E-2</v>
      </c>
      <c r="L58" s="5">
        <v>6.9110609963404138E-2</v>
      </c>
      <c r="M58">
        <v>0.94815393661088587</v>
      </c>
    </row>
    <row r="59" spans="1:18" x14ac:dyDescent="0.25">
      <c r="A59" s="45"/>
      <c r="B59" s="3">
        <v>7</v>
      </c>
      <c r="C59" s="4">
        <v>178</v>
      </c>
      <c r="D59" s="4">
        <v>0.14102564102564102</v>
      </c>
      <c r="E59" s="4">
        <v>135</v>
      </c>
      <c r="F59" s="4">
        <v>0.3235294117647059</v>
      </c>
      <c r="G59" s="4">
        <v>108</v>
      </c>
      <c r="H59" s="4">
        <v>0.17391304347826086</v>
      </c>
      <c r="I59" s="4">
        <v>60</v>
      </c>
      <c r="J59" s="4">
        <v>0.33333333333333331</v>
      </c>
      <c r="K59" s="5">
        <v>0.24295035740048526</v>
      </c>
      <c r="L59" s="5">
        <v>9.9694307531236051E-2</v>
      </c>
      <c r="M59">
        <v>0.56906324890800319</v>
      </c>
    </row>
    <row r="60" spans="1:18" x14ac:dyDescent="0.25">
      <c r="A60" s="45"/>
      <c r="B60" s="3">
        <v>14</v>
      </c>
      <c r="C60" s="4">
        <v>201</v>
      </c>
      <c r="D60" s="4">
        <v>0.28846153846153844</v>
      </c>
      <c r="E60" s="4">
        <v>158</v>
      </c>
      <c r="F60" s="4">
        <v>0.5490196078431373</v>
      </c>
      <c r="G60" s="4">
        <v>121</v>
      </c>
      <c r="H60" s="4">
        <v>0.31521739130434784</v>
      </c>
      <c r="I60" s="4">
        <v>69</v>
      </c>
      <c r="J60" s="4">
        <v>0.53333333333333333</v>
      </c>
      <c r="K60" s="5">
        <v>0.42150796773558918</v>
      </c>
      <c r="L60" s="5">
        <v>0.13876018849637287</v>
      </c>
      <c r="M60">
        <v>0.27993801550234948</v>
      </c>
    </row>
    <row r="61" spans="1:18" x14ac:dyDescent="0.25">
      <c r="A61" s="45"/>
      <c r="B61" s="3">
        <v>21</v>
      </c>
      <c r="C61" s="4">
        <v>209</v>
      </c>
      <c r="D61" s="4">
        <v>0.33974358974358976</v>
      </c>
      <c r="E61" s="4">
        <v>172</v>
      </c>
      <c r="F61" s="4">
        <v>0.68627450980392157</v>
      </c>
      <c r="G61" s="4">
        <v>156</v>
      </c>
      <c r="H61" s="4">
        <v>0.69565217391304346</v>
      </c>
      <c r="I61" s="4">
        <v>77</v>
      </c>
      <c r="J61" s="4">
        <v>0.71111111111111114</v>
      </c>
      <c r="K61" s="5">
        <v>0.60819534614291648</v>
      </c>
      <c r="L61" s="5">
        <v>0.1792605670660149</v>
      </c>
      <c r="M61">
        <v>1.4121455489859519E-2</v>
      </c>
    </row>
    <row r="62" spans="1:18" x14ac:dyDescent="0.25">
      <c r="A62" s="45"/>
      <c r="B62" s="3">
        <v>28</v>
      </c>
      <c r="C62" s="4">
        <v>222</v>
      </c>
      <c r="D62" s="4">
        <v>0.42307692307692307</v>
      </c>
      <c r="E62" s="4">
        <v>173</v>
      </c>
      <c r="F62" s="4">
        <v>0.69607843137254899</v>
      </c>
      <c r="G62" s="4">
        <v>159</v>
      </c>
      <c r="H62" s="4">
        <v>0.72826086956521741</v>
      </c>
      <c r="I62" s="4">
        <v>75</v>
      </c>
      <c r="J62" s="4">
        <v>0.66666666666666663</v>
      </c>
      <c r="K62" s="5">
        <v>0.62852072267033898</v>
      </c>
      <c r="L62" s="5">
        <v>0.1392532569845979</v>
      </c>
      <c r="M62">
        <v>3.3817424861992077E-3</v>
      </c>
    </row>
    <row r="63" spans="1:18" x14ac:dyDescent="0.25">
      <c r="A63" s="45"/>
      <c r="B63" s="3" t="s">
        <v>7</v>
      </c>
      <c r="C63" s="6"/>
      <c r="D63" s="6"/>
      <c r="E63" s="6"/>
      <c r="F63" s="6"/>
      <c r="G63" s="6"/>
      <c r="H63" s="6"/>
      <c r="I63" s="6"/>
      <c r="J63" s="6"/>
      <c r="K63" s="4"/>
      <c r="L63" s="4"/>
    </row>
    <row r="64" spans="1:18" x14ac:dyDescent="0.25">
      <c r="A64" s="45"/>
      <c r="B64" s="3" t="s">
        <v>11</v>
      </c>
      <c r="C64" s="6"/>
      <c r="D64" s="6"/>
      <c r="E64" s="6"/>
      <c r="F64" s="6"/>
      <c r="G64" s="6"/>
      <c r="H64" s="6"/>
      <c r="I64" s="6"/>
      <c r="J64" s="6"/>
      <c r="K64" s="4"/>
      <c r="L64" s="4"/>
    </row>
    <row r="68" spans="1:21" x14ac:dyDescent="0.25">
      <c r="A68" s="9" t="s">
        <v>33</v>
      </c>
    </row>
    <row r="69" spans="1:21" x14ac:dyDescent="0.25">
      <c r="A69" s="54" t="s">
        <v>36</v>
      </c>
      <c r="B69" s="53" t="s">
        <v>37</v>
      </c>
      <c r="C69" s="53"/>
      <c r="D69" s="53"/>
      <c r="E69" s="53"/>
      <c r="F69" s="53"/>
      <c r="H69" s="45" t="s">
        <v>36</v>
      </c>
      <c r="I69" s="46" t="s">
        <v>38</v>
      </c>
      <c r="J69" s="46"/>
      <c r="K69" s="46"/>
      <c r="L69" s="46"/>
      <c r="M69" s="46"/>
    </row>
    <row r="70" spans="1:21" x14ac:dyDescent="0.25">
      <c r="A70" s="54"/>
      <c r="B70" s="1" t="s">
        <v>35</v>
      </c>
      <c r="C70" s="1" t="s">
        <v>27</v>
      </c>
      <c r="D70" s="1" t="s">
        <v>28</v>
      </c>
      <c r="E70" s="1" t="s">
        <v>29</v>
      </c>
      <c r="F70" s="1" t="s">
        <v>30</v>
      </c>
      <c r="H70" s="45"/>
      <c r="I70" s="3" t="s">
        <v>35</v>
      </c>
      <c r="J70" s="18" t="s">
        <v>27</v>
      </c>
      <c r="K70" s="18" t="s">
        <v>28</v>
      </c>
      <c r="L70" s="18" t="s">
        <v>29</v>
      </c>
      <c r="M70" s="18" t="s">
        <v>30</v>
      </c>
      <c r="Q70">
        <v>0</v>
      </c>
      <c r="R70">
        <v>1</v>
      </c>
      <c r="S70">
        <v>2</v>
      </c>
      <c r="T70">
        <v>4</v>
      </c>
      <c r="U70">
        <v>5</v>
      </c>
    </row>
    <row r="71" spans="1:21" x14ac:dyDescent="0.25">
      <c r="A71" s="11">
        <v>1</v>
      </c>
      <c r="B71" s="4">
        <v>46</v>
      </c>
      <c r="C71" s="4">
        <v>62</v>
      </c>
      <c r="D71" s="4">
        <v>89</v>
      </c>
      <c r="E71" s="4">
        <v>240</v>
      </c>
      <c r="F71" s="4">
        <v>432</v>
      </c>
      <c r="H71" s="18">
        <v>1</v>
      </c>
      <c r="I71" s="7">
        <v>0</v>
      </c>
      <c r="J71" s="7">
        <v>0.37424516908212557</v>
      </c>
      <c r="K71" s="7">
        <v>0.98423913043478262</v>
      </c>
      <c r="L71" s="7">
        <v>4.2700785024154584</v>
      </c>
      <c r="M71" s="7">
        <v>8.3860809178743967</v>
      </c>
      <c r="P71" t="s">
        <v>31</v>
      </c>
      <c r="Q71">
        <v>0</v>
      </c>
      <c r="R71">
        <v>0.35147060993827467</v>
      </c>
      <c r="S71">
        <v>0.87876372214969434</v>
      </c>
      <c r="T71">
        <v>3.5583453279293447</v>
      </c>
      <c r="U71">
        <v>7.3257989192898281</v>
      </c>
    </row>
    <row r="72" spans="1:21" x14ac:dyDescent="0.25">
      <c r="A72" s="11">
        <v>2</v>
      </c>
      <c r="B72" s="4">
        <v>66</v>
      </c>
      <c r="C72" s="4">
        <v>92</v>
      </c>
      <c r="D72" s="4">
        <v>118</v>
      </c>
      <c r="E72" s="4">
        <v>315</v>
      </c>
      <c r="F72" s="4">
        <v>599</v>
      </c>
      <c r="H72" s="18">
        <v>2</v>
      </c>
      <c r="I72" s="7">
        <v>0</v>
      </c>
      <c r="J72" s="7">
        <v>0.46373864430468209</v>
      </c>
      <c r="K72" s="7">
        <v>0.94987421383647808</v>
      </c>
      <c r="L72" s="7">
        <v>4.0617540181691121</v>
      </c>
      <c r="M72" s="7">
        <v>8.4593011879804347</v>
      </c>
      <c r="Q72">
        <v>0</v>
      </c>
      <c r="R72">
        <v>0.12521839750346303</v>
      </c>
      <c r="S72">
        <v>0.15389012939386079</v>
      </c>
      <c r="T72">
        <v>0.57486210898870005</v>
      </c>
      <c r="U72">
        <v>0.90022560778889005</v>
      </c>
    </row>
    <row r="73" spans="1:21" x14ac:dyDescent="0.25">
      <c r="A73" s="11">
        <v>3</v>
      </c>
      <c r="B73" s="4">
        <v>81</v>
      </c>
      <c r="C73" s="4">
        <v>98</v>
      </c>
      <c r="D73" s="4">
        <v>138</v>
      </c>
      <c r="E73" s="4">
        <v>266</v>
      </c>
      <c r="F73" s="4">
        <v>488</v>
      </c>
      <c r="H73" s="18">
        <v>3</v>
      </c>
      <c r="I73" s="7">
        <v>0</v>
      </c>
      <c r="J73" s="7">
        <v>0.21642801642801643</v>
      </c>
      <c r="K73" s="7">
        <v>0.70217782217782221</v>
      </c>
      <c r="L73" s="7">
        <v>2.3432034632034635</v>
      </c>
      <c r="M73" s="7">
        <v>5.1320146520146528</v>
      </c>
      <c r="P73" t="s">
        <v>32</v>
      </c>
      <c r="Q73">
        <v>0</v>
      </c>
      <c r="R73">
        <v>0.18807646872418737</v>
      </c>
      <c r="S73">
        <v>0.73434819774547744</v>
      </c>
      <c r="T73">
        <v>2.2457472873386077</v>
      </c>
      <c r="U73">
        <v>4.5722635299121928</v>
      </c>
    </row>
    <row r="74" spans="1:21" x14ac:dyDescent="0.25">
      <c r="A74" s="7"/>
      <c r="B74" s="10"/>
      <c r="C74" s="10"/>
      <c r="D74" s="10"/>
      <c r="E74" s="10"/>
      <c r="F74" s="10"/>
      <c r="H74" s="18" t="s">
        <v>92</v>
      </c>
      <c r="I74" s="14">
        <v>0</v>
      </c>
      <c r="J74" s="15">
        <v>0.35147060993827467</v>
      </c>
      <c r="K74" s="15">
        <v>0.87876372214969434</v>
      </c>
      <c r="L74" s="15">
        <v>3.5583453279293447</v>
      </c>
      <c r="M74" s="15">
        <v>7.3257989192898281</v>
      </c>
      <c r="Q74">
        <v>0</v>
      </c>
      <c r="R74">
        <v>9.590365823962349E-2</v>
      </c>
      <c r="S74">
        <v>0.33805862105888851</v>
      </c>
      <c r="T74">
        <v>0.40625999088846343</v>
      </c>
      <c r="U74">
        <v>0.85364354288500721</v>
      </c>
    </row>
    <row r="75" spans="1:21" x14ac:dyDescent="0.25">
      <c r="A75" s="9"/>
      <c r="H75" s="18" t="s">
        <v>11</v>
      </c>
      <c r="I75" s="12">
        <v>0</v>
      </c>
      <c r="J75" s="12">
        <v>0.12521839750346303</v>
      </c>
      <c r="K75" s="12">
        <v>0.15389012939386079</v>
      </c>
      <c r="L75" s="12">
        <v>1.0574862108988701</v>
      </c>
      <c r="M75" s="12">
        <v>1.9002256077888853</v>
      </c>
    </row>
    <row r="76" spans="1:21" x14ac:dyDescent="0.25">
      <c r="A76" s="9" t="s">
        <v>34</v>
      </c>
      <c r="H76" s="13"/>
      <c r="I76" s="9"/>
      <c r="J76" s="9"/>
      <c r="K76" s="9"/>
      <c r="L76" s="9"/>
      <c r="M76" s="9"/>
    </row>
    <row r="77" spans="1:21" x14ac:dyDescent="0.25">
      <c r="A77" s="54" t="s">
        <v>36</v>
      </c>
      <c r="B77" s="53" t="s">
        <v>37</v>
      </c>
      <c r="C77" s="53"/>
      <c r="D77" s="53"/>
      <c r="E77" s="53"/>
      <c r="F77" s="53"/>
      <c r="H77" s="45" t="s">
        <v>36</v>
      </c>
      <c r="I77" s="46" t="s">
        <v>38</v>
      </c>
      <c r="J77" s="46"/>
      <c r="K77" s="46"/>
      <c r="L77" s="46"/>
      <c r="M77" s="46"/>
    </row>
    <row r="78" spans="1:21" x14ac:dyDescent="0.25">
      <c r="A78" s="54"/>
      <c r="B78" s="1" t="s">
        <v>35</v>
      </c>
      <c r="C78" s="1" t="s">
        <v>27</v>
      </c>
      <c r="D78" s="1" t="s">
        <v>28</v>
      </c>
      <c r="E78" s="1" t="s">
        <v>29</v>
      </c>
      <c r="F78" s="1" t="s">
        <v>30</v>
      </c>
      <c r="H78" s="45"/>
      <c r="I78" s="3" t="s">
        <v>35</v>
      </c>
      <c r="J78" s="18" t="s">
        <v>27</v>
      </c>
      <c r="K78" s="18" t="s">
        <v>28</v>
      </c>
      <c r="L78" s="18" t="s">
        <v>29</v>
      </c>
      <c r="M78" s="18" t="s">
        <v>30</v>
      </c>
    </row>
    <row r="79" spans="1:21" x14ac:dyDescent="0.25">
      <c r="A79" s="11">
        <v>1</v>
      </c>
      <c r="B79" s="4">
        <v>83</v>
      </c>
      <c r="C79" s="4">
        <v>99</v>
      </c>
      <c r="D79" s="4">
        <v>114</v>
      </c>
      <c r="E79" s="4">
        <v>235</v>
      </c>
      <c r="F79" s="4">
        <v>393</v>
      </c>
      <c r="H79" s="18">
        <v>1</v>
      </c>
      <c r="I79" s="7">
        <v>0</v>
      </c>
      <c r="J79" s="7">
        <v>0.22149219744156454</v>
      </c>
      <c r="K79" s="7">
        <v>0.38953184649387179</v>
      </c>
      <c r="L79" s="7">
        <v>1.7780523742549059</v>
      </c>
      <c r="M79" s="7">
        <v>3.623682271783538</v>
      </c>
    </row>
    <row r="80" spans="1:21" x14ac:dyDescent="0.25">
      <c r="A80" s="11">
        <v>2</v>
      </c>
      <c r="B80" s="4">
        <v>78</v>
      </c>
      <c r="C80" s="4">
        <v>97</v>
      </c>
      <c r="D80" s="4">
        <v>161</v>
      </c>
      <c r="E80" s="4">
        <v>267</v>
      </c>
      <c r="F80" s="4">
        <v>435</v>
      </c>
      <c r="H80" s="18">
        <v>2</v>
      </c>
      <c r="I80" s="7">
        <v>0</v>
      </c>
      <c r="J80" s="7">
        <v>0.26280193236714977</v>
      </c>
      <c r="K80" s="7">
        <v>1.0652173913043479</v>
      </c>
      <c r="L80" s="7">
        <v>2.5111111111111115</v>
      </c>
      <c r="M80" s="7">
        <v>4.8144927536231892</v>
      </c>
    </row>
    <row r="81" spans="1:14" x14ac:dyDescent="0.25">
      <c r="A81" s="11">
        <v>3</v>
      </c>
      <c r="B81" s="4">
        <v>100</v>
      </c>
      <c r="C81" s="4">
        <v>108</v>
      </c>
      <c r="D81" s="4">
        <v>175</v>
      </c>
      <c r="E81" s="4">
        <v>345</v>
      </c>
      <c r="F81" s="4">
        <v>629</v>
      </c>
      <c r="H81" s="18">
        <v>3</v>
      </c>
      <c r="I81" s="7">
        <v>0</v>
      </c>
      <c r="J81" s="7">
        <v>7.9935276363847799E-2</v>
      </c>
      <c r="K81" s="7">
        <v>0.74829535543821268</v>
      </c>
      <c r="L81" s="7">
        <v>2.4480783766498053</v>
      </c>
      <c r="M81" s="7">
        <v>5.2786155643298507</v>
      </c>
    </row>
    <row r="82" spans="1:14" x14ac:dyDescent="0.25">
      <c r="A82" s="4"/>
      <c r="B82" s="10"/>
      <c r="C82" s="10"/>
      <c r="D82" s="10"/>
      <c r="E82" s="10"/>
      <c r="F82" s="10"/>
      <c r="H82" s="18" t="s">
        <v>92</v>
      </c>
      <c r="I82" s="14">
        <v>0</v>
      </c>
      <c r="J82" s="15">
        <v>0.18807646872418737</v>
      </c>
      <c r="K82" s="15">
        <v>0.73434819774547744</v>
      </c>
      <c r="L82" s="15">
        <v>2.2457472873386077</v>
      </c>
      <c r="M82" s="15">
        <v>4.5722635299121928</v>
      </c>
    </row>
    <row r="83" spans="1:14" x14ac:dyDescent="0.25">
      <c r="H83" s="18" t="s">
        <v>11</v>
      </c>
      <c r="I83" s="12">
        <v>0</v>
      </c>
      <c r="J83" s="12">
        <v>9.590365823962349E-2</v>
      </c>
      <c r="K83" s="12">
        <v>0.33805862105888851</v>
      </c>
      <c r="L83" s="12">
        <v>0.40625999088846343</v>
      </c>
      <c r="M83" s="12">
        <v>0.85364354288500721</v>
      </c>
    </row>
    <row r="84" spans="1:14" x14ac:dyDescent="0.25">
      <c r="G84" t="s">
        <v>18</v>
      </c>
      <c r="I84" t="e">
        <v>#DIV/0!</v>
      </c>
      <c r="J84">
        <v>0.14721057713673574</v>
      </c>
      <c r="K84">
        <v>0.53758502597872937</v>
      </c>
      <c r="L84">
        <v>0.11520658381759773</v>
      </c>
      <c r="M84">
        <v>4.3909343786566503E-2</v>
      </c>
    </row>
    <row r="86" spans="1:14" x14ac:dyDescent="0.25">
      <c r="A86" t="s">
        <v>128</v>
      </c>
    </row>
    <row r="87" spans="1:14" x14ac:dyDescent="0.25">
      <c r="A87" s="27" t="s">
        <v>57</v>
      </c>
      <c r="B87" s="28"/>
      <c r="C87" s="34" t="s">
        <v>58</v>
      </c>
      <c r="D87" s="34" t="s">
        <v>59</v>
      </c>
      <c r="E87" s="34" t="s">
        <v>60</v>
      </c>
      <c r="F87" s="34" t="s">
        <v>92</v>
      </c>
      <c r="G87" s="34" t="s">
        <v>11</v>
      </c>
      <c r="H87" s="44" t="s">
        <v>45</v>
      </c>
    </row>
    <row r="88" spans="1:14" x14ac:dyDescent="0.25">
      <c r="A88" s="27" t="s">
        <v>63</v>
      </c>
      <c r="B88" s="28"/>
      <c r="C88" s="40">
        <v>43.47</v>
      </c>
      <c r="D88" s="22">
        <v>1.042465760841123</v>
      </c>
      <c r="E88" s="24">
        <v>1.042465760841123</v>
      </c>
      <c r="F88" s="22"/>
      <c r="G88" s="24"/>
      <c r="H88" s="21"/>
    </row>
    <row r="89" spans="1:14" x14ac:dyDescent="0.25">
      <c r="A89" s="30" t="s">
        <v>63</v>
      </c>
      <c r="B89" s="31"/>
      <c r="C89" s="41">
        <v>43.59</v>
      </c>
      <c r="D89">
        <v>0.9592641193252629</v>
      </c>
      <c r="E89" s="25">
        <v>0.9592641193252629</v>
      </c>
      <c r="G89" s="25"/>
      <c r="H89" s="19"/>
      <c r="K89" t="s">
        <v>9</v>
      </c>
      <c r="M89" t="s">
        <v>10</v>
      </c>
    </row>
    <row r="90" spans="1:14" x14ac:dyDescent="0.25">
      <c r="A90" s="32" t="s">
        <v>63</v>
      </c>
      <c r="B90" s="33"/>
      <c r="C90" s="38">
        <v>43.53</v>
      </c>
      <c r="D90" s="23">
        <v>1.0023891</v>
      </c>
      <c r="E90" s="26">
        <v>1.0023891</v>
      </c>
      <c r="F90" s="23">
        <v>1.000864940083193</v>
      </c>
      <c r="G90" s="26">
        <v>5.8832444921716832E-2</v>
      </c>
      <c r="H90" s="19"/>
      <c r="J90" t="s">
        <v>102</v>
      </c>
      <c r="K90">
        <v>1.000864940083193</v>
      </c>
      <c r="L90">
        <v>5.8832444921716832E-2</v>
      </c>
      <c r="M90">
        <v>1.6303521028250545</v>
      </c>
      <c r="N90">
        <v>0.15956113560199409</v>
      </c>
    </row>
    <row r="91" spans="1:14" x14ac:dyDescent="0.25">
      <c r="A91" s="30" t="s">
        <v>93</v>
      </c>
      <c r="B91" s="31"/>
      <c r="C91" s="41">
        <v>48.37</v>
      </c>
      <c r="D91">
        <v>3.4915223064756959E-2</v>
      </c>
      <c r="E91" s="25">
        <v>1.5175253418270582</v>
      </c>
      <c r="G91" s="25"/>
      <c r="H91" s="19"/>
      <c r="J91" t="s">
        <v>103</v>
      </c>
      <c r="K91" t="e">
        <v>#DIV/0!</v>
      </c>
      <c r="L91" t="e">
        <v>#DIV/0!</v>
      </c>
      <c r="M91" t="e">
        <v>#DIV/0!</v>
      </c>
      <c r="N91" t="e">
        <v>#DIV/0!</v>
      </c>
    </row>
    <row r="92" spans="1:14" x14ac:dyDescent="0.25">
      <c r="A92" s="30" t="s">
        <v>93</v>
      </c>
      <c r="B92" s="31"/>
      <c r="C92" s="41">
        <v>48.17</v>
      </c>
      <c r="D92">
        <v>4.0107059298840751E-2</v>
      </c>
      <c r="E92" s="25">
        <v>1.7431788638230508</v>
      </c>
      <c r="G92" s="25"/>
      <c r="H92" s="19"/>
      <c r="J92" t="s">
        <v>104</v>
      </c>
      <c r="K92" t="e">
        <v>#DIV/0!</v>
      </c>
      <c r="L92" t="e">
        <v>#DIV/0!</v>
      </c>
      <c r="M92" t="e">
        <v>#DIV/0!</v>
      </c>
      <c r="N92" t="e">
        <v>#DIV/0!</v>
      </c>
    </row>
    <row r="93" spans="1:14" x14ac:dyDescent="0.25">
      <c r="A93" s="32" t="s">
        <v>93</v>
      </c>
      <c r="B93" s="33"/>
      <c r="C93" s="38">
        <v>48.269999999999996</v>
      </c>
      <c r="D93" s="23">
        <v>3.7421209519341664E-2</v>
      </c>
      <c r="E93" s="26">
        <v>1.6264433900965605</v>
      </c>
      <c r="F93" s="23">
        <v>1.6303521028250545</v>
      </c>
      <c r="G93" s="26">
        <v>0.15956113560199409</v>
      </c>
      <c r="H93" s="20">
        <v>8.2586028934935045E-4</v>
      </c>
      <c r="J93" t="s">
        <v>105</v>
      </c>
      <c r="K93">
        <v>1.0101125169754648</v>
      </c>
      <c r="L93">
        <v>0.20162984377572321</v>
      </c>
      <c r="M93">
        <v>17.747280138422042</v>
      </c>
      <c r="N93">
        <v>1.5636944946092521</v>
      </c>
    </row>
    <row r="94" spans="1:14" x14ac:dyDescent="0.25">
      <c r="A94" s="27" t="s">
        <v>98</v>
      </c>
      <c r="B94" s="28"/>
      <c r="C94" s="42" t="s">
        <v>64</v>
      </c>
      <c r="D94" s="22" t="e">
        <v>#DIV/0!</v>
      </c>
      <c r="E94" s="24" t="e">
        <v>#DIV/0!</v>
      </c>
      <c r="F94" s="22"/>
      <c r="G94" s="24"/>
      <c r="H94" s="21"/>
      <c r="J94" t="s">
        <v>106</v>
      </c>
      <c r="K94" t="e">
        <v>#DIV/0!</v>
      </c>
      <c r="L94" t="e">
        <v>#DIV/0!</v>
      </c>
      <c r="M94" t="e">
        <v>#DIV/0!</v>
      </c>
      <c r="N94" t="e">
        <v>#DIV/0!</v>
      </c>
    </row>
    <row r="95" spans="1:14" x14ac:dyDescent="0.25">
      <c r="A95" s="30" t="s">
        <v>98</v>
      </c>
      <c r="B95" s="31"/>
      <c r="C95" s="39" t="s">
        <v>64</v>
      </c>
      <c r="D95" t="e">
        <v>#DIV/0!</v>
      </c>
      <c r="E95" s="25" t="e">
        <v>#DIV/0!</v>
      </c>
      <c r="G95" s="25"/>
      <c r="H95" s="19"/>
    </row>
    <row r="96" spans="1:14" x14ac:dyDescent="0.25">
      <c r="A96" s="32" t="s">
        <v>98</v>
      </c>
      <c r="B96" s="33"/>
      <c r="C96" s="38" t="s">
        <v>64</v>
      </c>
      <c r="D96" s="23" t="e">
        <v>#DIV/0!</v>
      </c>
      <c r="E96" s="26" t="e">
        <v>#DIV/0!</v>
      </c>
      <c r="F96" s="23" t="e">
        <v>#DIV/0!</v>
      </c>
      <c r="G96" s="26" t="e">
        <v>#DIV/0!</v>
      </c>
      <c r="H96" s="19"/>
    </row>
    <row r="97" spans="1:8" x14ac:dyDescent="0.25">
      <c r="A97" s="30" t="s">
        <v>100</v>
      </c>
      <c r="B97" s="31"/>
      <c r="C97" s="39" t="s">
        <v>64</v>
      </c>
      <c r="D97" t="e">
        <v>#DIV/0!</v>
      </c>
      <c r="E97" s="25" t="e">
        <v>#DIV/0!</v>
      </c>
      <c r="G97" s="25"/>
      <c r="H97" s="19"/>
    </row>
    <row r="98" spans="1:8" x14ac:dyDescent="0.25">
      <c r="A98" s="30" t="s">
        <v>100</v>
      </c>
      <c r="B98" s="31"/>
      <c r="C98" s="39" t="s">
        <v>64</v>
      </c>
      <c r="D98" t="e">
        <v>#DIV/0!</v>
      </c>
      <c r="E98" s="25" t="e">
        <v>#DIV/0!</v>
      </c>
      <c r="G98" s="25"/>
      <c r="H98" s="19"/>
    </row>
    <row r="99" spans="1:8" x14ac:dyDescent="0.25">
      <c r="A99" s="32" t="s">
        <v>100</v>
      </c>
      <c r="B99" s="33"/>
      <c r="C99" s="39" t="s">
        <v>64</v>
      </c>
      <c r="D99" s="23" t="e">
        <v>#DIV/0!</v>
      </c>
      <c r="E99" s="26" t="e">
        <v>#DIV/0!</v>
      </c>
      <c r="F99" s="23" t="e">
        <v>#DIV/0!</v>
      </c>
      <c r="G99" s="26" t="e">
        <v>#DIV/0!</v>
      </c>
      <c r="H99" s="20" t="e">
        <v>#DIV/0!</v>
      </c>
    </row>
    <row r="100" spans="1:8" x14ac:dyDescent="0.25">
      <c r="A100" s="27" t="s">
        <v>99</v>
      </c>
      <c r="B100" s="28"/>
      <c r="C100" s="42" t="s">
        <v>64</v>
      </c>
      <c r="D100" s="22" t="e">
        <v>#DIV/0!</v>
      </c>
      <c r="E100" s="24" t="e">
        <v>#DIV/0!</v>
      </c>
      <c r="F100" s="22"/>
      <c r="G100" s="24"/>
      <c r="H100" s="21"/>
    </row>
    <row r="101" spans="1:8" x14ac:dyDescent="0.25">
      <c r="A101" s="30" t="s">
        <v>99</v>
      </c>
      <c r="B101" s="31"/>
      <c r="C101" s="39" t="s">
        <v>64</v>
      </c>
      <c r="D101" t="e">
        <v>#DIV/0!</v>
      </c>
      <c r="E101" s="25" t="e">
        <v>#DIV/0!</v>
      </c>
      <c r="G101" s="25"/>
      <c r="H101" s="19"/>
    </row>
    <row r="102" spans="1:8" x14ac:dyDescent="0.25">
      <c r="A102" s="32" t="s">
        <v>99</v>
      </c>
      <c r="B102" s="33"/>
      <c r="C102" s="38" t="s">
        <v>64</v>
      </c>
      <c r="D102" s="23" t="e">
        <v>#DIV/0!</v>
      </c>
      <c r="E102" s="26" t="e">
        <v>#DIV/0!</v>
      </c>
      <c r="F102" s="23" t="e">
        <v>#DIV/0!</v>
      </c>
      <c r="G102" s="26" t="e">
        <v>#DIV/0!</v>
      </c>
      <c r="H102" s="19"/>
    </row>
    <row r="103" spans="1:8" x14ac:dyDescent="0.25">
      <c r="A103" s="30" t="s">
        <v>101</v>
      </c>
      <c r="B103" s="31"/>
      <c r="C103" s="39" t="s">
        <v>64</v>
      </c>
      <c r="D103" t="e">
        <v>#DIV/0!</v>
      </c>
      <c r="E103" s="25" t="e">
        <v>#DIV/0!</v>
      </c>
      <c r="G103" s="25"/>
      <c r="H103" s="19"/>
    </row>
    <row r="104" spans="1:8" x14ac:dyDescent="0.25">
      <c r="A104" s="30" t="s">
        <v>101</v>
      </c>
      <c r="B104" s="31"/>
      <c r="C104" s="39" t="s">
        <v>64</v>
      </c>
      <c r="D104" t="e">
        <v>#DIV/0!</v>
      </c>
      <c r="E104" s="25" t="e">
        <v>#DIV/0!</v>
      </c>
      <c r="G104" s="25"/>
      <c r="H104" s="19"/>
    </row>
    <row r="105" spans="1:8" x14ac:dyDescent="0.25">
      <c r="A105" s="32" t="s">
        <v>101</v>
      </c>
      <c r="B105" s="33"/>
      <c r="C105" s="39" t="s">
        <v>64</v>
      </c>
      <c r="D105" s="23" t="e">
        <v>#DIV/0!</v>
      </c>
      <c r="E105" s="26" t="e">
        <v>#DIV/0!</v>
      </c>
      <c r="F105" s="23" t="e">
        <v>#DIV/0!</v>
      </c>
      <c r="G105" s="26" t="e">
        <v>#DIV/0!</v>
      </c>
      <c r="H105" s="20" t="e">
        <v>#DIV/0!</v>
      </c>
    </row>
    <row r="106" spans="1:8" x14ac:dyDescent="0.25">
      <c r="A106" s="27" t="s">
        <v>94</v>
      </c>
      <c r="B106" s="28"/>
      <c r="C106" s="40">
        <v>26.57</v>
      </c>
      <c r="D106" s="22">
        <v>1.1526863467988628</v>
      </c>
      <c r="E106" s="24">
        <v>1.1526863467988628</v>
      </c>
      <c r="F106" s="22"/>
      <c r="G106" s="24"/>
      <c r="H106" s="21"/>
    </row>
    <row r="107" spans="1:8" x14ac:dyDescent="0.25">
      <c r="A107" s="30" t="s">
        <v>94</v>
      </c>
      <c r="B107" s="31"/>
      <c r="C107" s="41">
        <v>26.98</v>
      </c>
      <c r="D107">
        <v>0.86753868715206683</v>
      </c>
      <c r="E107" s="25">
        <v>0.86753868715206683</v>
      </c>
      <c r="G107" s="25"/>
      <c r="H107" s="19"/>
    </row>
    <row r="108" spans="1:8" x14ac:dyDescent="0.25">
      <c r="A108" s="32" t="s">
        <v>94</v>
      </c>
      <c r="B108" s="33"/>
      <c r="C108" s="38">
        <v>26.774999999999988</v>
      </c>
      <c r="D108" s="23">
        <v>0.99052479999999998</v>
      </c>
      <c r="E108" s="26">
        <v>0.99052479999999998</v>
      </c>
      <c r="F108" s="23">
        <v>1.0101125169754648</v>
      </c>
      <c r="G108" s="26">
        <v>0.20162984377572321</v>
      </c>
      <c r="H108" s="19"/>
    </row>
    <row r="109" spans="1:8" x14ac:dyDescent="0.25">
      <c r="A109" s="30" t="s">
        <v>95</v>
      </c>
      <c r="B109" s="31"/>
      <c r="C109" s="41">
        <v>27.98</v>
      </c>
      <c r="D109">
        <v>0.43376934357603342</v>
      </c>
      <c r="E109" s="25">
        <v>18.852979119264315</v>
      </c>
      <c r="G109" s="25"/>
      <c r="H109" s="19"/>
    </row>
    <row r="110" spans="1:8" x14ac:dyDescent="0.25">
      <c r="A110" s="30" t="s">
        <v>95</v>
      </c>
      <c r="B110" s="31"/>
      <c r="C110" s="41">
        <v>28.16</v>
      </c>
      <c r="D110">
        <v>0.38288949927359534</v>
      </c>
      <c r="E110" s="25">
        <v>16.641581157579768</v>
      </c>
      <c r="G110" s="25"/>
      <c r="H110" s="19"/>
    </row>
    <row r="111" spans="1:8" x14ac:dyDescent="0.25">
      <c r="A111" s="32" t="s">
        <v>95</v>
      </c>
      <c r="B111" s="33"/>
      <c r="C111" s="38">
        <v>28.070000000000004</v>
      </c>
      <c r="D111" s="23">
        <v>0.40753616620131122</v>
      </c>
      <c r="E111" s="26">
        <v>17.712802773005528</v>
      </c>
      <c r="F111" s="23">
        <v>17.747280138422042</v>
      </c>
      <c r="G111" s="26">
        <v>1.5636944946092521</v>
      </c>
      <c r="H111" s="20">
        <v>1.3029263803834971E-5</v>
      </c>
    </row>
    <row r="112" spans="1:8" x14ac:dyDescent="0.25">
      <c r="A112" s="27" t="s">
        <v>96</v>
      </c>
      <c r="B112" s="28"/>
      <c r="C112" s="40" t="s">
        <v>64</v>
      </c>
      <c r="D112" s="22" t="e">
        <v>#DIV/0!</v>
      </c>
      <c r="E112" s="24" t="e">
        <v>#DIV/0!</v>
      </c>
      <c r="F112" s="22"/>
      <c r="G112" s="24"/>
      <c r="H112" s="21"/>
    </row>
    <row r="113" spans="1:8" x14ac:dyDescent="0.25">
      <c r="A113" s="30" t="s">
        <v>96</v>
      </c>
      <c r="B113" s="31"/>
      <c r="C113" s="41" t="s">
        <v>64</v>
      </c>
      <c r="D113" t="e">
        <v>#DIV/0!</v>
      </c>
      <c r="E113" s="25" t="e">
        <v>#DIV/0!</v>
      </c>
      <c r="G113" s="25"/>
      <c r="H113" s="19"/>
    </row>
    <row r="114" spans="1:8" x14ac:dyDescent="0.25">
      <c r="A114" s="32" t="s">
        <v>96</v>
      </c>
      <c r="B114" s="33"/>
      <c r="C114" s="43" t="s">
        <v>64</v>
      </c>
      <c r="D114" s="23" t="e">
        <v>#DIV/0!</v>
      </c>
      <c r="E114" s="26" t="e">
        <v>#DIV/0!</v>
      </c>
      <c r="F114" s="23" t="e">
        <v>#DIV/0!</v>
      </c>
      <c r="G114" s="26" t="e">
        <v>#DIV/0!</v>
      </c>
      <c r="H114" s="19"/>
    </row>
    <row r="115" spans="1:8" x14ac:dyDescent="0.25">
      <c r="A115" s="30" t="s">
        <v>97</v>
      </c>
      <c r="B115" s="31"/>
      <c r="C115" s="41" t="s">
        <v>64</v>
      </c>
      <c r="D115" t="e">
        <v>#DIV/0!</v>
      </c>
      <c r="E115" s="25" t="e">
        <v>#DIV/0!</v>
      </c>
      <c r="G115" s="25"/>
      <c r="H115" s="19"/>
    </row>
    <row r="116" spans="1:8" x14ac:dyDescent="0.25">
      <c r="A116" s="30" t="s">
        <v>97</v>
      </c>
      <c r="B116" s="31"/>
      <c r="C116" s="41" t="s">
        <v>64</v>
      </c>
      <c r="D116" t="e">
        <v>#DIV/0!</v>
      </c>
      <c r="E116" s="25" t="e">
        <v>#DIV/0!</v>
      </c>
      <c r="G116" s="25"/>
      <c r="H116" s="19"/>
    </row>
    <row r="117" spans="1:8" x14ac:dyDescent="0.25">
      <c r="A117" s="32" t="s">
        <v>97</v>
      </c>
      <c r="B117" s="33"/>
      <c r="C117" s="43" t="s">
        <v>64</v>
      </c>
      <c r="D117" s="23" t="e">
        <v>#DIV/0!</v>
      </c>
      <c r="E117" s="26" t="e">
        <v>#DIV/0!</v>
      </c>
      <c r="F117" s="23" t="e">
        <v>#DIV/0!</v>
      </c>
      <c r="G117" s="26" t="e">
        <v>#DIV/0!</v>
      </c>
      <c r="H117" s="20" t="e">
        <v>#DIV/0!</v>
      </c>
    </row>
    <row r="118" spans="1:8" x14ac:dyDescent="0.25">
      <c r="A118" s="30" t="s">
        <v>79</v>
      </c>
      <c r="B118" s="31"/>
      <c r="C118" s="39">
        <v>26.06</v>
      </c>
      <c r="D118">
        <v>1.1769067372187698</v>
      </c>
      <c r="E118" s="25">
        <v>1.1769067372187698</v>
      </c>
      <c r="G118" s="25"/>
      <c r="H118" s="19"/>
    </row>
    <row r="119" spans="1:8" x14ac:dyDescent="0.25">
      <c r="A119" s="30" t="s">
        <v>79</v>
      </c>
      <c r="B119" s="31"/>
      <c r="C119" s="39">
        <v>26.53</v>
      </c>
      <c r="D119">
        <v>0.84968499913865059</v>
      </c>
      <c r="E119" s="25">
        <v>0.84968499913865059</v>
      </c>
      <c r="G119" s="25"/>
      <c r="H119" s="19"/>
    </row>
    <row r="120" spans="1:8" x14ac:dyDescent="0.25">
      <c r="A120" s="32" t="s">
        <v>79</v>
      </c>
      <c r="B120" s="33"/>
      <c r="C120" s="38">
        <v>26.295000000000002</v>
      </c>
      <c r="D120" s="23">
        <v>1</v>
      </c>
      <c r="E120" s="26">
        <v>1</v>
      </c>
      <c r="F120" s="23">
        <v>1.0088639121191401</v>
      </c>
      <c r="G120" s="26">
        <v>0.16379085191666104</v>
      </c>
      <c r="H120" s="19"/>
    </row>
    <row r="121" spans="1:8" x14ac:dyDescent="0.25">
      <c r="A121" s="30" t="s">
        <v>80</v>
      </c>
      <c r="B121" s="31"/>
      <c r="C121" s="39">
        <v>31.5</v>
      </c>
      <c r="D121">
        <v>2.7110583973502158E-2</v>
      </c>
      <c r="E121" s="25">
        <v>1.1783111949540228</v>
      </c>
      <c r="G121" s="25"/>
      <c r="H121" s="19"/>
    </row>
    <row r="122" spans="1:8" x14ac:dyDescent="0.25">
      <c r="A122" s="30" t="s">
        <v>80</v>
      </c>
      <c r="B122" s="31"/>
      <c r="C122" s="39">
        <v>32.020000000000003</v>
      </c>
      <c r="D122">
        <v>1.8906157644051434E-2</v>
      </c>
      <c r="E122" s="25">
        <v>0.82172103807594898</v>
      </c>
      <c r="G122" s="25"/>
      <c r="H122" s="19"/>
    </row>
    <row r="123" spans="1:8" x14ac:dyDescent="0.25">
      <c r="A123" s="32" t="s">
        <v>80</v>
      </c>
      <c r="B123" s="33"/>
      <c r="C123" s="38">
        <v>31.759999999999998</v>
      </c>
      <c r="D123" s="23">
        <v>2.2639721164920041E-2</v>
      </c>
      <c r="E123" s="26">
        <v>0.98399344423331192</v>
      </c>
      <c r="F123" s="23">
        <v>0.99467522575442791</v>
      </c>
      <c r="G123" s="26">
        <v>0.17853489949567591</v>
      </c>
      <c r="H123" s="20">
        <v>0.92408847884479717</v>
      </c>
    </row>
    <row r="124" spans="1:8" x14ac:dyDescent="0.25">
      <c r="A124" t="s">
        <v>162</v>
      </c>
    </row>
    <row r="126" spans="1:8" x14ac:dyDescent="0.25">
      <c r="A126" t="s">
        <v>127</v>
      </c>
    </row>
    <row r="127" spans="1:8" x14ac:dyDescent="0.25">
      <c r="A127" s="27" t="s">
        <v>57</v>
      </c>
      <c r="B127" s="28"/>
      <c r="C127" s="34" t="s">
        <v>58</v>
      </c>
      <c r="D127" s="34" t="s">
        <v>59</v>
      </c>
      <c r="E127" s="34" t="s">
        <v>60</v>
      </c>
      <c r="F127" s="34" t="s">
        <v>92</v>
      </c>
      <c r="G127" s="34" t="s">
        <v>11</v>
      </c>
      <c r="H127" s="44" t="s">
        <v>45</v>
      </c>
    </row>
    <row r="128" spans="1:8" x14ac:dyDescent="0.25">
      <c r="A128" s="27" t="s">
        <v>107</v>
      </c>
      <c r="B128" s="28"/>
      <c r="C128" s="24">
        <v>34.840000000000003</v>
      </c>
      <c r="D128">
        <v>0.89502507092797012</v>
      </c>
      <c r="E128" s="25">
        <v>0.89502507092797012</v>
      </c>
      <c r="F128" s="22"/>
      <c r="G128" s="24"/>
      <c r="H128" s="24"/>
    </row>
    <row r="129" spans="1:14" x14ac:dyDescent="0.25">
      <c r="A129" s="30" t="s">
        <v>107</v>
      </c>
      <c r="B129" s="31"/>
      <c r="C129" s="25">
        <v>34.42</v>
      </c>
      <c r="D129">
        <v>1.197478704618927</v>
      </c>
      <c r="E129" s="25">
        <v>1.197478704618927</v>
      </c>
      <c r="G129" s="25"/>
      <c r="H129" s="25"/>
      <c r="K129" t="s">
        <v>31</v>
      </c>
      <c r="M129" t="s">
        <v>32</v>
      </c>
    </row>
    <row r="130" spans="1:14" x14ac:dyDescent="0.25">
      <c r="A130" s="32" t="s">
        <v>107</v>
      </c>
      <c r="B130" s="33"/>
      <c r="C130" s="38">
        <v>34.779999999999987</v>
      </c>
      <c r="D130" s="23">
        <v>0.93303299153681574</v>
      </c>
      <c r="E130" s="26">
        <v>0.93303299153681574</v>
      </c>
      <c r="F130" s="23">
        <v>1.0085122556945709</v>
      </c>
      <c r="G130" s="26">
        <v>0.16474947533016004</v>
      </c>
      <c r="H130" s="25"/>
      <c r="J130" t="s">
        <v>113</v>
      </c>
      <c r="K130">
        <v>1.0085122556945709</v>
      </c>
      <c r="L130">
        <v>0.16474947533016004</v>
      </c>
      <c r="M130">
        <v>0.53687350593662242</v>
      </c>
      <c r="N130">
        <v>5.203730276060179E-2</v>
      </c>
    </row>
    <row r="131" spans="1:14" x14ac:dyDescent="0.25">
      <c r="A131" s="30" t="s">
        <v>108</v>
      </c>
      <c r="B131" s="31"/>
      <c r="C131" s="25">
        <v>35.380000000000003</v>
      </c>
      <c r="D131">
        <v>0.61557220667245693</v>
      </c>
      <c r="E131" s="24">
        <v>0.48569720987844867</v>
      </c>
      <c r="F131" s="22"/>
      <c r="G131" s="24"/>
      <c r="H131" s="25"/>
      <c r="J131" t="s">
        <v>114</v>
      </c>
      <c r="K131">
        <v>1.022347851506664</v>
      </c>
      <c r="L131">
        <v>0.27336573058433833</v>
      </c>
      <c r="M131">
        <v>1.017252803593331</v>
      </c>
      <c r="N131">
        <v>0.39549762898384294</v>
      </c>
    </row>
    <row r="132" spans="1:14" x14ac:dyDescent="0.25">
      <c r="A132" s="30" t="s">
        <v>108</v>
      </c>
      <c r="B132" s="31"/>
      <c r="C132" s="25">
        <v>35.1</v>
      </c>
      <c r="D132">
        <v>0.74742462431746837</v>
      </c>
      <c r="E132" s="25">
        <v>0.58973106759936023</v>
      </c>
      <c r="G132" s="25"/>
      <c r="H132" s="25"/>
      <c r="J132" t="s">
        <v>115</v>
      </c>
      <c r="K132">
        <v>1.0325146439496651</v>
      </c>
      <c r="L132">
        <v>0.30618881152771615</v>
      </c>
      <c r="M132">
        <v>0.93111495218461426</v>
      </c>
      <c r="N132">
        <v>8.3816922564020166E-2</v>
      </c>
    </row>
    <row r="133" spans="1:14" x14ac:dyDescent="0.25">
      <c r="A133" s="30" t="s">
        <v>108</v>
      </c>
      <c r="B133" s="31"/>
      <c r="C133" s="39">
        <v>35.24</v>
      </c>
      <c r="D133" s="23">
        <v>0.67830216372383489</v>
      </c>
      <c r="E133" s="26">
        <v>0.5351922403320587</v>
      </c>
      <c r="F133" s="23">
        <v>0.53687350593662242</v>
      </c>
      <c r="G133" s="26">
        <v>5.203730276060179E-2</v>
      </c>
      <c r="H133" s="26">
        <v>3.2834106011785019E-2</v>
      </c>
      <c r="J133" t="s">
        <v>116</v>
      </c>
      <c r="K133">
        <v>1.0099622578219793</v>
      </c>
      <c r="L133">
        <v>0.17765578394334697</v>
      </c>
      <c r="M133">
        <v>6.2125963596034453</v>
      </c>
      <c r="N133">
        <v>0.75221007984975197</v>
      </c>
    </row>
    <row r="134" spans="1:14" x14ac:dyDescent="0.25">
      <c r="A134" s="27" t="s">
        <v>125</v>
      </c>
      <c r="B134" s="28"/>
      <c r="C134" s="24">
        <v>37.159999999999997</v>
      </c>
      <c r="D134">
        <v>0.83508791942837468</v>
      </c>
      <c r="E134" s="25">
        <v>0.83508791942837468</v>
      </c>
      <c r="F134" s="22"/>
      <c r="G134" s="24"/>
      <c r="H134" s="24"/>
      <c r="J134" t="s">
        <v>117</v>
      </c>
      <c r="K134">
        <v>1.0054315559247466</v>
      </c>
      <c r="L134">
        <v>0.12473421462389116</v>
      </c>
      <c r="M134">
        <v>1.3402277894561421</v>
      </c>
      <c r="N134">
        <v>0.34230418806093121</v>
      </c>
    </row>
    <row r="135" spans="1:14" x14ac:dyDescent="0.25">
      <c r="A135" s="30" t="s">
        <v>125</v>
      </c>
      <c r="B135" s="31"/>
      <c r="C135" s="25">
        <v>36.74</v>
      </c>
      <c r="D135">
        <v>1.1172871380722229</v>
      </c>
      <c r="E135" s="25">
        <v>1.1172871380722229</v>
      </c>
      <c r="G135" s="25"/>
      <c r="H135" s="25"/>
      <c r="J135" t="s">
        <v>118</v>
      </c>
      <c r="K135">
        <v>1.0080495066789605</v>
      </c>
      <c r="L135">
        <v>0.1515079425752284</v>
      </c>
      <c r="M135">
        <v>1.7100492881419054</v>
      </c>
      <c r="N135">
        <v>0.18935956792747391</v>
      </c>
    </row>
    <row r="136" spans="1:14" x14ac:dyDescent="0.25">
      <c r="A136" s="32" t="s">
        <v>125</v>
      </c>
      <c r="B136" s="33"/>
      <c r="C136" s="38">
        <v>36.800000000000018</v>
      </c>
      <c r="D136" s="23">
        <v>1.0717734625362836</v>
      </c>
      <c r="E136" s="26">
        <v>1.0717734625362836</v>
      </c>
      <c r="F136" s="23">
        <v>1.0080495066789605</v>
      </c>
      <c r="G136" s="26">
        <v>0.1515079425752284</v>
      </c>
      <c r="H136" s="25"/>
    </row>
    <row r="137" spans="1:14" ht="15.75" x14ac:dyDescent="0.25">
      <c r="A137" s="30" t="s">
        <v>126</v>
      </c>
      <c r="B137" s="31"/>
      <c r="C137" s="24">
        <v>35.630000000000003</v>
      </c>
      <c r="D137" s="21">
        <v>2.4116156553815258</v>
      </c>
      <c r="E137" s="24">
        <v>1.9028068233451687</v>
      </c>
      <c r="F137" s="22"/>
      <c r="G137" s="24"/>
      <c r="H137" s="25"/>
      <c r="I137" s="37"/>
    </row>
    <row r="138" spans="1:14" x14ac:dyDescent="0.25">
      <c r="A138" s="30" t="s">
        <v>126</v>
      </c>
      <c r="B138" s="31"/>
      <c r="C138" s="25">
        <v>35.950000000000003</v>
      </c>
      <c r="D138" s="19">
        <v>1.931872657849695</v>
      </c>
      <c r="E138" s="25">
        <v>1.5242812290538119</v>
      </c>
      <c r="G138" s="25"/>
      <c r="H138" s="25"/>
    </row>
    <row r="139" spans="1:14" x14ac:dyDescent="0.25">
      <c r="A139" s="30" t="s">
        <v>126</v>
      </c>
      <c r="B139" s="31"/>
      <c r="C139" s="38">
        <v>35.790000000000006</v>
      </c>
      <c r="D139" s="20">
        <v>2.1584564730088536</v>
      </c>
      <c r="E139" s="26">
        <v>1.7030598120267353</v>
      </c>
      <c r="F139" s="23">
        <v>1.7100492881419054</v>
      </c>
      <c r="G139" s="26">
        <v>0.18935956792747391</v>
      </c>
      <c r="H139" s="26">
        <v>2.106623859738779E-3</v>
      </c>
    </row>
    <row r="140" spans="1:14" x14ac:dyDescent="0.25">
      <c r="A140" s="27" t="s">
        <v>109</v>
      </c>
      <c r="B140" s="28"/>
      <c r="C140" s="25">
        <v>35.74</v>
      </c>
      <c r="D140">
        <v>1.3379275547861069</v>
      </c>
      <c r="E140" s="25">
        <v>1.3379275547861069</v>
      </c>
      <c r="F140" s="22"/>
      <c r="G140" s="24"/>
      <c r="H140" s="24"/>
    </row>
    <row r="141" spans="1:14" x14ac:dyDescent="0.25">
      <c r="A141" s="30" t="s">
        <v>109</v>
      </c>
      <c r="B141" s="31"/>
      <c r="C141" s="25">
        <v>36.380000000000003</v>
      </c>
      <c r="D141">
        <v>0.85856543643775018</v>
      </c>
      <c r="E141" s="25">
        <v>0.85856543643775018</v>
      </c>
      <c r="G141" s="25"/>
      <c r="H141" s="25"/>
    </row>
    <row r="142" spans="1:14" x14ac:dyDescent="0.25">
      <c r="A142" s="32" t="s">
        <v>109</v>
      </c>
      <c r="B142" s="33"/>
      <c r="C142" s="38">
        <v>36.359999999999978</v>
      </c>
      <c r="D142" s="23">
        <v>0.87055056329613534</v>
      </c>
      <c r="E142" s="26">
        <v>0.87055056329613534</v>
      </c>
      <c r="F142" s="23">
        <v>1.022347851506664</v>
      </c>
      <c r="G142" s="26">
        <v>0.27336573058433833</v>
      </c>
      <c r="H142" s="25"/>
    </row>
    <row r="143" spans="1:14" x14ac:dyDescent="0.25">
      <c r="A143" s="30" t="s">
        <v>110</v>
      </c>
      <c r="B143" s="31"/>
      <c r="C143" s="24">
        <v>36.22</v>
      </c>
      <c r="D143" s="21">
        <v>0.9592641193252629</v>
      </c>
      <c r="E143" s="24">
        <v>0.75687612475443833</v>
      </c>
      <c r="F143" s="22"/>
      <c r="G143" s="24"/>
      <c r="H143" s="25"/>
    </row>
    <row r="144" spans="1:14" x14ac:dyDescent="0.25">
      <c r="A144" s="30" t="s">
        <v>110</v>
      </c>
      <c r="B144" s="31"/>
      <c r="C144" s="25">
        <v>36.1</v>
      </c>
      <c r="D144" s="19">
        <v>1.0424657608411179</v>
      </c>
      <c r="E144" s="25">
        <v>0.82252367138426863</v>
      </c>
      <c r="G144" s="25"/>
      <c r="H144" s="25"/>
    </row>
    <row r="145" spans="1:8" x14ac:dyDescent="0.25">
      <c r="A145" s="30" t="s">
        <v>110</v>
      </c>
      <c r="B145" s="31"/>
      <c r="C145" s="38">
        <v>35.26</v>
      </c>
      <c r="D145" s="20">
        <v>1.8660659830736128</v>
      </c>
      <c r="E145" s="26">
        <v>1.4723586146412861</v>
      </c>
      <c r="F145" s="23">
        <v>1.017252803593331</v>
      </c>
      <c r="G145" s="26">
        <v>0.39549762898384294</v>
      </c>
      <c r="H145" s="26">
        <v>0.4635135072974183</v>
      </c>
    </row>
    <row r="146" spans="1:8" x14ac:dyDescent="0.25">
      <c r="A146" s="27" t="s">
        <v>121</v>
      </c>
      <c r="B146" s="28"/>
      <c r="C146" s="25">
        <v>44.91</v>
      </c>
      <c r="D146">
        <v>1.2099940892192973</v>
      </c>
      <c r="E146" s="25">
        <v>1.2099940892192973</v>
      </c>
      <c r="F146" s="22"/>
      <c r="G146" s="24"/>
      <c r="H146" s="24"/>
    </row>
    <row r="147" spans="1:8" x14ac:dyDescent="0.25">
      <c r="A147" s="30" t="s">
        <v>121</v>
      </c>
      <c r="B147" s="31"/>
      <c r="C147" s="25">
        <v>45.26</v>
      </c>
      <c r="D147">
        <v>0.94934212095052206</v>
      </c>
      <c r="E147" s="25">
        <v>0.94934212095052206</v>
      </c>
      <c r="G147" s="25"/>
      <c r="H147" s="25"/>
    </row>
    <row r="148" spans="1:8" x14ac:dyDescent="0.25">
      <c r="A148" s="32" t="s">
        <v>121</v>
      </c>
      <c r="B148" s="33"/>
      <c r="C148" s="38">
        <v>45.385000000000012</v>
      </c>
      <c r="D148" s="23">
        <v>0.87055056329611813</v>
      </c>
      <c r="E148" s="26">
        <v>0.87055056329611813</v>
      </c>
      <c r="F148" s="23">
        <v>1.0099622578219793</v>
      </c>
      <c r="G148" s="26">
        <v>0.17765578394334697</v>
      </c>
      <c r="H148" s="25"/>
    </row>
    <row r="149" spans="1:8" x14ac:dyDescent="0.25">
      <c r="A149" s="30" t="s">
        <v>122</v>
      </c>
      <c r="B149" s="31"/>
      <c r="C149" s="25">
        <v>42.04</v>
      </c>
      <c r="D149">
        <v>8.845845226562167</v>
      </c>
      <c r="E149" s="24">
        <v>6.9795262017798239</v>
      </c>
      <c r="F149" s="22"/>
      <c r="G149" s="24"/>
      <c r="H149" s="25"/>
    </row>
    <row r="150" spans="1:8" x14ac:dyDescent="0.25">
      <c r="A150" s="30" t="s">
        <v>122</v>
      </c>
      <c r="B150" s="31"/>
      <c r="C150" s="25">
        <v>42.39</v>
      </c>
      <c r="D150">
        <v>6.9403094972165524</v>
      </c>
      <c r="E150" s="25">
        <v>5.4760252687701545</v>
      </c>
      <c r="G150" s="25"/>
      <c r="H150" s="25"/>
    </row>
    <row r="151" spans="1:8" x14ac:dyDescent="0.25">
      <c r="A151" s="30" t="s">
        <v>122</v>
      </c>
      <c r="B151" s="31"/>
      <c r="C151" s="39">
        <v>42.215000000000018</v>
      </c>
      <c r="D151">
        <v>7.8353623806953303</v>
      </c>
      <c r="E151" s="26">
        <v>6.1822376082603583</v>
      </c>
      <c r="F151" s="23">
        <v>6.2125963596034453</v>
      </c>
      <c r="G151" s="26">
        <v>0.75221007984975197</v>
      </c>
      <c r="H151" s="26">
        <v>2.5425435153357632E-4</v>
      </c>
    </row>
    <row r="152" spans="1:8" x14ac:dyDescent="0.25">
      <c r="A152" s="27" t="s">
        <v>119</v>
      </c>
      <c r="B152" s="28"/>
      <c r="C152" s="24">
        <v>36.85</v>
      </c>
      <c r="D152" s="22">
        <v>1.3149427602050736</v>
      </c>
      <c r="E152" s="24">
        <v>1.3149427602050736</v>
      </c>
      <c r="F152" s="22"/>
      <c r="G152" s="24"/>
      <c r="H152" s="24"/>
    </row>
    <row r="153" spans="1:8" x14ac:dyDescent="0.25">
      <c r="A153" s="30" t="s">
        <v>119</v>
      </c>
      <c r="B153" s="31"/>
      <c r="C153" s="25">
        <v>37.14</v>
      </c>
      <c r="D153">
        <v>1.075494390457381</v>
      </c>
      <c r="E153" s="25">
        <v>1.075494390457381</v>
      </c>
      <c r="G153" s="25"/>
      <c r="H153" s="25"/>
    </row>
    <row r="154" spans="1:8" x14ac:dyDescent="0.25">
      <c r="A154" s="32" t="s">
        <v>119</v>
      </c>
      <c r="B154" s="33"/>
      <c r="C154" s="38">
        <v>37.745000000000019</v>
      </c>
      <c r="D154" s="23">
        <v>0.70710678118654058</v>
      </c>
      <c r="E154" s="26">
        <v>0.70710678118654058</v>
      </c>
      <c r="F154" s="23">
        <v>1.0325146439496651</v>
      </c>
      <c r="G154" s="26">
        <v>0.30618881152771615</v>
      </c>
      <c r="H154" s="25"/>
    </row>
    <row r="155" spans="1:8" x14ac:dyDescent="0.25">
      <c r="A155" s="30" t="s">
        <v>120</v>
      </c>
      <c r="B155" s="31"/>
      <c r="C155" s="25">
        <v>37.14</v>
      </c>
      <c r="D155">
        <v>1.075494390457381</v>
      </c>
      <c r="E155" s="24">
        <v>0.84858383634435364</v>
      </c>
      <c r="F155" s="22"/>
      <c r="G155" s="24"/>
      <c r="H155" s="25"/>
    </row>
    <row r="156" spans="1:8" x14ac:dyDescent="0.25">
      <c r="A156" s="30" t="s">
        <v>120</v>
      </c>
      <c r="B156" s="31"/>
      <c r="C156" s="25">
        <v>36.880000000000003</v>
      </c>
      <c r="D156">
        <v>1.2878816295098272</v>
      </c>
      <c r="E156" s="25">
        <v>1.0161610731061961</v>
      </c>
      <c r="G156" s="25"/>
      <c r="H156" s="25"/>
    </row>
    <row r="157" spans="1:8" x14ac:dyDescent="0.25">
      <c r="A157" s="30" t="s">
        <v>120</v>
      </c>
      <c r="B157" s="31"/>
      <c r="C157" s="38">
        <v>37.010000000000012</v>
      </c>
      <c r="D157" s="23">
        <v>1.1769067372187612</v>
      </c>
      <c r="E157" s="26">
        <v>0.92859994710329297</v>
      </c>
      <c r="F157" s="23">
        <v>0.93111495218461426</v>
      </c>
      <c r="G157" s="26">
        <v>8.3816922564020166E-2</v>
      </c>
      <c r="H157" s="26">
        <v>0.47439827432876874</v>
      </c>
    </row>
    <row r="158" spans="1:8" x14ac:dyDescent="0.25">
      <c r="A158" s="27" t="s">
        <v>123</v>
      </c>
      <c r="B158" s="28"/>
      <c r="C158" s="25">
        <v>24.53</v>
      </c>
      <c r="D158">
        <v>1.0829750455259262</v>
      </c>
      <c r="E158" s="25">
        <v>1.0829750455259262</v>
      </c>
      <c r="F158" s="22"/>
      <c r="G158" s="24"/>
      <c r="H158" s="24"/>
    </row>
    <row r="159" spans="1:8" x14ac:dyDescent="0.25">
      <c r="A159" s="30" t="s">
        <v>123</v>
      </c>
      <c r="B159" s="31"/>
      <c r="C159" s="25">
        <v>24.86</v>
      </c>
      <c r="D159">
        <v>0.86154615971201942</v>
      </c>
      <c r="E159" s="25">
        <v>0.86154615971201942</v>
      </c>
      <c r="G159" s="25"/>
      <c r="H159" s="25"/>
    </row>
    <row r="160" spans="1:8" x14ac:dyDescent="0.25">
      <c r="A160" s="32" t="s">
        <v>123</v>
      </c>
      <c r="B160" s="33"/>
      <c r="C160" s="38">
        <v>24.545000000000002</v>
      </c>
      <c r="D160" s="23">
        <v>1.0717734625362942</v>
      </c>
      <c r="E160" s="26">
        <v>1.0717734625362942</v>
      </c>
      <c r="F160" s="23">
        <v>1.0054315559247466</v>
      </c>
      <c r="G160" s="26">
        <v>0.12473421462389116</v>
      </c>
      <c r="H160" s="25"/>
    </row>
    <row r="161" spans="1:8" x14ac:dyDescent="0.25">
      <c r="A161" s="30" t="s">
        <v>124</v>
      </c>
      <c r="B161" s="31"/>
      <c r="C161" s="25">
        <v>24.16</v>
      </c>
      <c r="D161">
        <v>1.3995858655951987</v>
      </c>
      <c r="E161" s="24">
        <v>1.1042976640863944</v>
      </c>
      <c r="F161" s="22"/>
      <c r="G161" s="24"/>
      <c r="H161" s="25"/>
    </row>
    <row r="162" spans="1:8" x14ac:dyDescent="0.25">
      <c r="A162" s="30" t="s">
        <v>124</v>
      </c>
      <c r="B162" s="31"/>
      <c r="C162" s="25">
        <v>24.06</v>
      </c>
      <c r="D162">
        <v>1.5000389892858226</v>
      </c>
      <c r="E162" s="25">
        <v>1.1835569311086165</v>
      </c>
      <c r="G162" s="25"/>
      <c r="H162" s="25"/>
    </row>
    <row r="163" spans="1:8" x14ac:dyDescent="0.25">
      <c r="A163" s="30" t="s">
        <v>124</v>
      </c>
      <c r="B163" s="31"/>
      <c r="C163" s="39">
        <v>23.510000000000009</v>
      </c>
      <c r="D163">
        <v>2.1961856275740912</v>
      </c>
      <c r="E163" s="26">
        <v>1.7328287731734158</v>
      </c>
      <c r="F163" s="23">
        <v>1.3402277894561421</v>
      </c>
      <c r="G163" s="26">
        <v>0.34230418806093121</v>
      </c>
      <c r="H163" s="26">
        <v>5.6409312046206646E-2</v>
      </c>
    </row>
    <row r="164" spans="1:8" x14ac:dyDescent="0.25">
      <c r="A164" s="27" t="s">
        <v>111</v>
      </c>
      <c r="B164" s="28"/>
      <c r="C164" s="24">
        <v>30.43</v>
      </c>
      <c r="D164" s="22">
        <v>1.035264923841378</v>
      </c>
      <c r="E164" s="24">
        <v>1.035264923841378</v>
      </c>
      <c r="F164" s="22"/>
      <c r="G164" s="24"/>
      <c r="H164" s="24"/>
    </row>
    <row r="165" spans="1:8" x14ac:dyDescent="0.25">
      <c r="A165" s="30" t="s">
        <v>111</v>
      </c>
      <c r="B165" s="31"/>
      <c r="C165" s="25">
        <v>30.53</v>
      </c>
      <c r="D165">
        <v>0.96593632892484504</v>
      </c>
      <c r="E165" s="25">
        <v>0.96593632892484504</v>
      </c>
      <c r="G165" s="25"/>
      <c r="H165" s="25"/>
    </row>
    <row r="166" spans="1:8" x14ac:dyDescent="0.25">
      <c r="A166" s="32" t="s">
        <v>111</v>
      </c>
      <c r="B166" s="33"/>
      <c r="C166" s="38">
        <v>30.479999999999997</v>
      </c>
      <c r="D166" s="23">
        <v>1.0123864</v>
      </c>
      <c r="E166" s="26">
        <v>1.0123864</v>
      </c>
      <c r="F166" s="23">
        <v>1.000400417588742</v>
      </c>
      <c r="G166" s="26">
        <v>3.4666031918280028E-2</v>
      </c>
      <c r="H166" s="25"/>
    </row>
    <row r="167" spans="1:8" x14ac:dyDescent="0.25">
      <c r="A167" s="30" t="s">
        <v>112</v>
      </c>
      <c r="B167" s="31"/>
      <c r="C167" s="25">
        <v>30.05</v>
      </c>
      <c r="D167">
        <v>1.34723357686569</v>
      </c>
      <c r="E167" s="24">
        <v>1.0629907949798054</v>
      </c>
      <c r="F167" s="22"/>
      <c r="G167" s="24"/>
      <c r="H167" s="25"/>
    </row>
    <row r="168" spans="1:8" x14ac:dyDescent="0.25">
      <c r="A168" s="30" t="s">
        <v>112</v>
      </c>
      <c r="B168" s="31"/>
      <c r="C168" s="25">
        <v>30.23</v>
      </c>
      <c r="D168">
        <v>1.189207115002721</v>
      </c>
      <c r="E168" s="25">
        <v>0.93830515975805961</v>
      </c>
      <c r="G168" s="25"/>
      <c r="H168" s="25"/>
    </row>
    <row r="169" spans="1:8" x14ac:dyDescent="0.25">
      <c r="A169" s="32" t="s">
        <v>112</v>
      </c>
      <c r="B169" s="33"/>
      <c r="C169" s="38">
        <v>30.140000000000004</v>
      </c>
      <c r="D169" s="23">
        <v>1.2657565939702766</v>
      </c>
      <c r="E169" s="26">
        <v>0.9987040340886123</v>
      </c>
      <c r="F169" s="23">
        <v>0.99999999627549252</v>
      </c>
      <c r="G169" s="26">
        <v>6.2352919307398363E-2</v>
      </c>
      <c r="H169" s="26">
        <v>5.8502500893409092E-3</v>
      </c>
    </row>
    <row r="170" spans="1:8" x14ac:dyDescent="0.25">
      <c r="A170" t="s">
        <v>163</v>
      </c>
    </row>
  </sheetData>
  <mergeCells count="30">
    <mergeCell ref="H77:H78"/>
    <mergeCell ref="H69:H70"/>
    <mergeCell ref="G47:H47"/>
    <mergeCell ref="I47:J47"/>
    <mergeCell ref="A49:A56"/>
    <mergeCell ref="A57:A64"/>
    <mergeCell ref="I77:M77"/>
    <mergeCell ref="I69:M69"/>
    <mergeCell ref="B77:F77"/>
    <mergeCell ref="B69:F69"/>
    <mergeCell ref="A77:A78"/>
    <mergeCell ref="A69:A70"/>
    <mergeCell ref="E47:F47"/>
    <mergeCell ref="A26:A33"/>
    <mergeCell ref="A34:A41"/>
    <mergeCell ref="A47:A48"/>
    <mergeCell ref="B47:B48"/>
    <mergeCell ref="C47:D47"/>
    <mergeCell ref="I24:K24"/>
    <mergeCell ref="A2:A3"/>
    <mergeCell ref="B2:B3"/>
    <mergeCell ref="C2:E2"/>
    <mergeCell ref="F2:H2"/>
    <mergeCell ref="I2:K2"/>
    <mergeCell ref="A4:A11"/>
    <mergeCell ref="A12:A19"/>
    <mergeCell ref="A24:A25"/>
    <mergeCell ref="B24:B25"/>
    <mergeCell ref="C24:E24"/>
    <mergeCell ref="F24:H24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AA2A5-FD93-4B4F-B5DC-91A0B96E8F5D}">
  <dimension ref="A1:S42"/>
  <sheetViews>
    <sheetView workbookViewId="0">
      <selection activeCell="L25" sqref="L25"/>
    </sheetView>
  </sheetViews>
  <sheetFormatPr defaultRowHeight="15" x14ac:dyDescent="0.25"/>
  <sheetData>
    <row r="1" spans="1:19" x14ac:dyDescent="0.25">
      <c r="A1" t="s">
        <v>52</v>
      </c>
    </row>
    <row r="2" spans="1:19" x14ac:dyDescent="0.25">
      <c r="A2" s="45" t="s">
        <v>13</v>
      </c>
      <c r="B2" s="45" t="s">
        <v>14</v>
      </c>
      <c r="C2" s="46">
        <v>1</v>
      </c>
      <c r="D2" s="46"/>
      <c r="E2" s="46"/>
      <c r="F2" s="46">
        <v>2</v>
      </c>
      <c r="G2" s="46"/>
      <c r="H2" s="46"/>
      <c r="I2" s="46">
        <v>3</v>
      </c>
      <c r="J2" s="46"/>
      <c r="K2" s="46"/>
      <c r="L2" s="3" t="s">
        <v>92</v>
      </c>
      <c r="M2" s="3" t="s">
        <v>11</v>
      </c>
      <c r="P2" t="s">
        <v>16</v>
      </c>
      <c r="R2" t="s">
        <v>17</v>
      </c>
    </row>
    <row r="3" spans="1:19" x14ac:dyDescent="0.25">
      <c r="A3" s="45"/>
      <c r="B3" s="45"/>
      <c r="C3" s="3" t="s">
        <v>39</v>
      </c>
      <c r="D3" s="3" t="s">
        <v>21</v>
      </c>
      <c r="E3" s="3" t="s">
        <v>6</v>
      </c>
      <c r="F3" s="3" t="s">
        <v>39</v>
      </c>
      <c r="G3" s="3" t="s">
        <v>21</v>
      </c>
      <c r="H3" s="3" t="s">
        <v>6</v>
      </c>
      <c r="I3" s="3" t="s">
        <v>39</v>
      </c>
      <c r="J3" s="3" t="s">
        <v>21</v>
      </c>
      <c r="K3" s="3" t="s">
        <v>6</v>
      </c>
      <c r="L3" s="3" t="s">
        <v>6</v>
      </c>
      <c r="M3" s="3" t="s">
        <v>6</v>
      </c>
      <c r="O3">
        <v>0</v>
      </c>
      <c r="P3">
        <v>69.306620178741468</v>
      </c>
      <c r="Q3">
        <v>17.182711557032398</v>
      </c>
      <c r="R3">
        <v>41.429568653943598</v>
      </c>
      <c r="S3">
        <v>5.2299993959266571</v>
      </c>
    </row>
    <row r="4" spans="1:19" x14ac:dyDescent="0.25">
      <c r="A4" s="47" t="s">
        <v>9</v>
      </c>
      <c r="B4" s="3">
        <v>0</v>
      </c>
      <c r="C4" s="4">
        <v>10440</v>
      </c>
      <c r="D4" s="4">
        <v>14980</v>
      </c>
      <c r="E4" s="4">
        <v>69.692923898531376</v>
      </c>
      <c r="F4" s="4">
        <v>11428</v>
      </c>
      <c r="G4" s="4">
        <v>14980</v>
      </c>
      <c r="H4" s="4">
        <v>76.288384512683578</v>
      </c>
      <c r="I4" s="4">
        <v>8205</v>
      </c>
      <c r="J4" s="4">
        <v>13247</v>
      </c>
      <c r="K4" s="4">
        <v>61.938552125009437</v>
      </c>
      <c r="L4" s="5">
        <v>69.306620178741468</v>
      </c>
      <c r="M4" s="5">
        <v>7.182711557032488</v>
      </c>
      <c r="O4">
        <v>0.25</v>
      </c>
      <c r="P4">
        <v>14.820132007428674</v>
      </c>
      <c r="Q4">
        <v>2.3946107179346607</v>
      </c>
      <c r="R4">
        <v>260.39078898026099</v>
      </c>
      <c r="S4">
        <v>44.409312379559267</v>
      </c>
    </row>
    <row r="5" spans="1:19" x14ac:dyDescent="0.25">
      <c r="A5" s="48"/>
      <c r="B5" s="3">
        <v>0.25</v>
      </c>
      <c r="C5" s="4">
        <v>1386</v>
      </c>
      <c r="D5" s="4">
        <v>8240</v>
      </c>
      <c r="E5" s="4">
        <v>16.820388349514563</v>
      </c>
      <c r="F5" s="4">
        <v>1275</v>
      </c>
      <c r="G5" s="4">
        <v>8240</v>
      </c>
      <c r="H5" s="4">
        <v>15.473300970873785</v>
      </c>
      <c r="I5" s="4">
        <v>1013</v>
      </c>
      <c r="J5" s="4">
        <v>8326</v>
      </c>
      <c r="K5" s="4">
        <v>12.16670670189767</v>
      </c>
      <c r="L5" s="5">
        <v>14.820132007428674</v>
      </c>
      <c r="M5" s="5">
        <v>2.3946107179346607</v>
      </c>
      <c r="O5">
        <v>1</v>
      </c>
      <c r="P5">
        <v>79.824551703597635</v>
      </c>
      <c r="Q5">
        <v>17.249585280384402</v>
      </c>
      <c r="R5">
        <v>231.37223718428962</v>
      </c>
      <c r="S5">
        <v>30.062365444779029</v>
      </c>
    </row>
    <row r="6" spans="1:19" x14ac:dyDescent="0.25">
      <c r="A6" s="48"/>
      <c r="B6" s="3">
        <v>1</v>
      </c>
      <c r="C6" s="4">
        <v>5658</v>
      </c>
      <c r="D6" s="4">
        <v>7503</v>
      </c>
      <c r="E6" s="4">
        <v>75.409836065573771</v>
      </c>
      <c r="F6" s="4">
        <v>6617</v>
      </c>
      <c r="G6" s="4">
        <v>7503</v>
      </c>
      <c r="H6" s="4">
        <v>88.191390110622407</v>
      </c>
      <c r="I6" s="4">
        <v>6566</v>
      </c>
      <c r="J6" s="4">
        <v>8654</v>
      </c>
      <c r="K6" s="4">
        <v>75.872428934596712</v>
      </c>
      <c r="L6" s="5">
        <v>79.824551703597635</v>
      </c>
      <c r="M6" s="5">
        <v>7.2495852803844167</v>
      </c>
      <c r="O6">
        <v>3</v>
      </c>
      <c r="P6">
        <v>195.87271143041949</v>
      </c>
      <c r="Q6">
        <v>16.922754458833264</v>
      </c>
      <c r="R6">
        <v>115.16107714141724</v>
      </c>
      <c r="S6">
        <v>24.435783193038251</v>
      </c>
    </row>
    <row r="7" spans="1:19" x14ac:dyDescent="0.25">
      <c r="A7" s="48"/>
      <c r="B7" s="3">
        <v>3</v>
      </c>
      <c r="C7" s="4">
        <v>24949</v>
      </c>
      <c r="D7" s="4">
        <v>13589</v>
      </c>
      <c r="E7" s="4">
        <v>183.59702700713814</v>
      </c>
      <c r="F7" s="4">
        <v>25662</v>
      </c>
      <c r="G7" s="4">
        <v>13589</v>
      </c>
      <c r="H7" s="4">
        <v>188.84391787475164</v>
      </c>
      <c r="I7" s="4">
        <v>26413</v>
      </c>
      <c r="J7" s="4">
        <v>12275</v>
      </c>
      <c r="K7" s="4">
        <v>215.17718940936862</v>
      </c>
      <c r="L7" s="5">
        <v>195.87271143041949</v>
      </c>
      <c r="M7" s="5">
        <v>16.922754458833264</v>
      </c>
      <c r="O7">
        <v>7</v>
      </c>
      <c r="P7">
        <v>31.970002673614303</v>
      </c>
      <c r="Q7">
        <v>3.8653282552103758</v>
      </c>
      <c r="R7">
        <v>48.54136980096964</v>
      </c>
      <c r="S7">
        <v>3.7682705787810962</v>
      </c>
    </row>
    <row r="8" spans="1:19" x14ac:dyDescent="0.25">
      <c r="A8" s="48"/>
      <c r="B8" s="3">
        <v>7</v>
      </c>
      <c r="C8" s="4">
        <v>7156</v>
      </c>
      <c r="D8" s="4">
        <v>21509</v>
      </c>
      <c r="E8" s="4">
        <v>33.269794039704308</v>
      </c>
      <c r="F8" s="4">
        <v>7532</v>
      </c>
      <c r="G8" s="4">
        <v>21509</v>
      </c>
      <c r="H8" s="4">
        <v>35.017899483936951</v>
      </c>
      <c r="I8" s="4">
        <v>6120</v>
      </c>
      <c r="J8" s="4">
        <v>22156</v>
      </c>
      <c r="K8" s="4">
        <v>27.622314497201661</v>
      </c>
      <c r="L8" s="5">
        <v>31.970002673614303</v>
      </c>
      <c r="M8" s="5">
        <v>3.8653282552103758</v>
      </c>
      <c r="O8">
        <v>14</v>
      </c>
      <c r="P8">
        <v>31.014578247138306</v>
      </c>
      <c r="Q8">
        <v>0.64400575802612459</v>
      </c>
      <c r="R8">
        <v>37.39367741076596</v>
      </c>
      <c r="S8">
        <v>11.267622755106673</v>
      </c>
    </row>
    <row r="9" spans="1:19" x14ac:dyDescent="0.25">
      <c r="A9" s="48"/>
      <c r="B9" s="3">
        <v>14</v>
      </c>
      <c r="C9" s="4">
        <v>5752</v>
      </c>
      <c r="D9" s="4">
        <v>18141</v>
      </c>
      <c r="E9" s="4">
        <v>31.707182624993109</v>
      </c>
      <c r="F9" s="4">
        <v>5521</v>
      </c>
      <c r="G9" s="4">
        <v>18141</v>
      </c>
      <c r="H9" s="4">
        <v>30.433823934733478</v>
      </c>
      <c r="I9" s="4">
        <v>4327</v>
      </c>
      <c r="J9" s="4">
        <v>14002</v>
      </c>
      <c r="K9" s="4">
        <v>30.902728181688332</v>
      </c>
      <c r="L9" s="5">
        <v>31.014578247138306</v>
      </c>
      <c r="M9" s="5">
        <v>0.64400575802612459</v>
      </c>
    </row>
    <row r="10" spans="1:19" x14ac:dyDescent="0.25">
      <c r="A10" s="48"/>
      <c r="B10" s="3" t="s">
        <v>7</v>
      </c>
      <c r="C10" s="4"/>
      <c r="D10" s="4"/>
      <c r="E10" s="6"/>
      <c r="F10" s="4"/>
      <c r="G10" s="4"/>
      <c r="H10" s="6"/>
      <c r="I10" s="4"/>
      <c r="J10" s="4"/>
      <c r="K10" s="6"/>
      <c r="L10" s="4"/>
      <c r="M10" s="4"/>
    </row>
    <row r="11" spans="1:19" x14ac:dyDescent="0.25">
      <c r="A11" s="49"/>
      <c r="B11" s="3" t="s">
        <v>11</v>
      </c>
      <c r="C11" s="4"/>
      <c r="D11" s="4"/>
      <c r="E11" s="6"/>
      <c r="F11" s="4"/>
      <c r="G11" s="4"/>
      <c r="H11" s="6"/>
      <c r="I11" s="4"/>
      <c r="J11" s="4"/>
      <c r="K11" s="6"/>
      <c r="L11" s="4"/>
      <c r="M11" s="4"/>
      <c r="N11" t="s">
        <v>18</v>
      </c>
    </row>
    <row r="12" spans="1:19" x14ac:dyDescent="0.25">
      <c r="A12" s="47" t="s">
        <v>10</v>
      </c>
      <c r="B12" s="3">
        <v>0</v>
      </c>
      <c r="C12" s="4">
        <v>5342</v>
      </c>
      <c r="D12" s="4">
        <v>11837</v>
      </c>
      <c r="E12" s="4">
        <v>45.129678127904029</v>
      </c>
      <c r="F12" s="4">
        <v>2503</v>
      </c>
      <c r="G12" s="4">
        <v>5726</v>
      </c>
      <c r="H12" s="4">
        <v>43.712888578414251</v>
      </c>
      <c r="I12" s="4">
        <v>4485</v>
      </c>
      <c r="J12" s="4">
        <v>12653</v>
      </c>
      <c r="K12" s="4">
        <v>35.446139255512527</v>
      </c>
      <c r="L12" s="5">
        <v>41.429568653943598</v>
      </c>
      <c r="M12" s="5">
        <v>5.2299993959266571</v>
      </c>
      <c r="N12">
        <v>5.5638271652627127E-3</v>
      </c>
    </row>
    <row r="13" spans="1:19" x14ac:dyDescent="0.25">
      <c r="A13" s="48"/>
      <c r="B13" s="3">
        <v>0.25</v>
      </c>
      <c r="C13" s="4">
        <v>6338</v>
      </c>
      <c r="D13" s="4">
        <v>2630</v>
      </c>
      <c r="E13" s="4">
        <v>240.98859315589354</v>
      </c>
      <c r="F13" s="4">
        <v>8586</v>
      </c>
      <c r="G13" s="4">
        <v>2759</v>
      </c>
      <c r="H13" s="4">
        <v>311.1997100398695</v>
      </c>
      <c r="I13" s="4">
        <v>6897</v>
      </c>
      <c r="J13" s="4">
        <v>3012</v>
      </c>
      <c r="K13" s="4">
        <v>228.98406374501991</v>
      </c>
      <c r="L13" s="5">
        <v>260.39078898026099</v>
      </c>
      <c r="M13" s="5">
        <v>44.409312379559267</v>
      </c>
      <c r="N13">
        <v>6.6774676566107977E-4</v>
      </c>
    </row>
    <row r="14" spans="1:19" x14ac:dyDescent="0.25">
      <c r="A14" s="48"/>
      <c r="B14" s="3">
        <v>1</v>
      </c>
      <c r="C14" s="4">
        <v>19907</v>
      </c>
      <c r="D14" s="4">
        <v>9908</v>
      </c>
      <c r="E14" s="4">
        <v>200.91844973758577</v>
      </c>
      <c r="F14" s="4">
        <v>23570</v>
      </c>
      <c r="G14" s="4">
        <v>10152</v>
      </c>
      <c r="H14" s="4">
        <v>232.1710007880221</v>
      </c>
      <c r="I14" s="4">
        <v>22310</v>
      </c>
      <c r="J14" s="4">
        <v>8547</v>
      </c>
      <c r="K14" s="4">
        <v>261.02726102726103</v>
      </c>
      <c r="L14" s="5">
        <v>231.37223718428962</v>
      </c>
      <c r="M14" s="5">
        <v>30.062365444779029</v>
      </c>
      <c r="N14">
        <v>1.0562050638955268E-3</v>
      </c>
    </row>
    <row r="15" spans="1:19" x14ac:dyDescent="0.25">
      <c r="A15" s="48"/>
      <c r="B15" s="3">
        <v>3</v>
      </c>
      <c r="C15" s="4">
        <v>8455</v>
      </c>
      <c r="D15" s="4">
        <v>9287</v>
      </c>
      <c r="E15" s="4">
        <v>91.041240443630883</v>
      </c>
      <c r="F15" s="4">
        <v>10256</v>
      </c>
      <c r="G15" s="4">
        <v>8954</v>
      </c>
      <c r="H15" s="4">
        <v>114.54098726825998</v>
      </c>
      <c r="I15" s="4">
        <v>10175</v>
      </c>
      <c r="J15" s="4">
        <v>7273</v>
      </c>
      <c r="K15" s="4">
        <v>139.90100371236079</v>
      </c>
      <c r="L15" s="5">
        <v>115.16107714141724</v>
      </c>
      <c r="M15" s="5">
        <v>24.435783193038251</v>
      </c>
      <c r="N15">
        <v>9.2861084505469621E-3</v>
      </c>
    </row>
    <row r="16" spans="1:19" x14ac:dyDescent="0.25">
      <c r="A16" s="48"/>
      <c r="B16" s="3">
        <v>7</v>
      </c>
      <c r="C16" s="4">
        <v>9129</v>
      </c>
      <c r="D16" s="4">
        <v>20636</v>
      </c>
      <c r="E16" s="4">
        <v>44.238224462105059</v>
      </c>
      <c r="F16" s="4">
        <v>10995</v>
      </c>
      <c r="G16" s="4">
        <v>21453</v>
      </c>
      <c r="H16" s="4">
        <v>51.251573206544542</v>
      </c>
      <c r="I16" s="4">
        <v>7652</v>
      </c>
      <c r="J16" s="4">
        <v>15263</v>
      </c>
      <c r="K16" s="4">
        <v>50.13431173425932</v>
      </c>
      <c r="L16" s="5">
        <v>48.54136980096964</v>
      </c>
      <c r="M16" s="5">
        <v>3.7682705787810962</v>
      </c>
      <c r="N16">
        <v>6.0175776798403408E-3</v>
      </c>
    </row>
    <row r="17" spans="1:19" x14ac:dyDescent="0.25">
      <c r="A17" s="48"/>
      <c r="B17" s="3">
        <v>14</v>
      </c>
      <c r="C17" s="4">
        <v>7677</v>
      </c>
      <c r="D17" s="4">
        <v>21741</v>
      </c>
      <c r="E17" s="4">
        <v>35.31116323996136</v>
      </c>
      <c r="F17" s="4">
        <v>9235</v>
      </c>
      <c r="G17" s="4">
        <v>18635</v>
      </c>
      <c r="H17" s="4">
        <v>49.557284679366781</v>
      </c>
      <c r="I17" s="4">
        <v>5669</v>
      </c>
      <c r="J17" s="4">
        <v>20756</v>
      </c>
      <c r="K17" s="4">
        <v>27.312584312969747</v>
      </c>
      <c r="L17" s="5">
        <v>37.39367741076596</v>
      </c>
      <c r="M17" s="5">
        <v>11.267622755106673</v>
      </c>
      <c r="N17">
        <v>0.38301489702271801</v>
      </c>
    </row>
    <row r="18" spans="1:19" x14ac:dyDescent="0.25">
      <c r="A18" s="48"/>
      <c r="B18" s="3" t="s">
        <v>7</v>
      </c>
      <c r="C18" s="4"/>
      <c r="D18" s="4"/>
      <c r="E18" s="6"/>
      <c r="F18" s="4"/>
      <c r="G18" s="4"/>
      <c r="H18" s="6"/>
      <c r="I18" s="4"/>
      <c r="J18" s="4"/>
      <c r="K18" s="6"/>
      <c r="L18" s="4"/>
      <c r="M18" s="4"/>
    </row>
    <row r="19" spans="1:19" x14ac:dyDescent="0.25">
      <c r="A19" s="49"/>
      <c r="B19" s="3" t="s">
        <v>11</v>
      </c>
      <c r="C19" s="4"/>
      <c r="D19" s="4"/>
      <c r="E19" s="6"/>
      <c r="F19" s="4"/>
      <c r="G19" s="4"/>
      <c r="H19" s="6"/>
      <c r="I19" s="4"/>
      <c r="J19" s="4"/>
      <c r="K19" s="6"/>
      <c r="L19" s="4"/>
      <c r="M19" s="4"/>
    </row>
    <row r="24" spans="1:19" x14ac:dyDescent="0.25">
      <c r="A24" t="s">
        <v>53</v>
      </c>
    </row>
    <row r="25" spans="1:19" x14ac:dyDescent="0.25">
      <c r="A25" s="45" t="s">
        <v>13</v>
      </c>
      <c r="B25" s="45" t="s">
        <v>14</v>
      </c>
      <c r="C25" s="46">
        <v>1</v>
      </c>
      <c r="D25" s="46"/>
      <c r="E25" s="46"/>
      <c r="F25" s="46">
        <v>2</v>
      </c>
      <c r="G25" s="46"/>
      <c r="H25" s="46"/>
      <c r="I25" s="46">
        <v>3</v>
      </c>
      <c r="J25" s="46"/>
      <c r="K25" s="46"/>
      <c r="L25" s="3" t="s">
        <v>92</v>
      </c>
      <c r="M25" s="3" t="s">
        <v>11</v>
      </c>
      <c r="P25" t="s">
        <v>16</v>
      </c>
      <c r="R25" t="s">
        <v>17</v>
      </c>
    </row>
    <row r="26" spans="1:19" x14ac:dyDescent="0.25">
      <c r="A26" s="45"/>
      <c r="B26" s="45"/>
      <c r="C26" s="3" t="s">
        <v>39</v>
      </c>
      <c r="D26" s="3" t="s">
        <v>21</v>
      </c>
      <c r="E26" s="3" t="s">
        <v>6</v>
      </c>
      <c r="F26" s="3" t="s">
        <v>39</v>
      </c>
      <c r="G26" s="3" t="s">
        <v>21</v>
      </c>
      <c r="H26" s="3" t="s">
        <v>6</v>
      </c>
      <c r="I26" s="3" t="s">
        <v>39</v>
      </c>
      <c r="J26" s="3" t="s">
        <v>21</v>
      </c>
      <c r="K26" s="3" t="s">
        <v>6</v>
      </c>
      <c r="L26" s="3" t="s">
        <v>6</v>
      </c>
      <c r="M26" s="3" t="s">
        <v>6</v>
      </c>
      <c r="O26">
        <v>0</v>
      </c>
      <c r="P26">
        <v>84.846599741549753</v>
      </c>
      <c r="Q26">
        <v>49.162526907313129</v>
      </c>
      <c r="R26">
        <v>31.594276912806603</v>
      </c>
      <c r="S26">
        <v>30.034802244166901</v>
      </c>
    </row>
    <row r="27" spans="1:19" x14ac:dyDescent="0.25">
      <c r="A27" s="47" t="s">
        <v>9</v>
      </c>
      <c r="B27" s="3">
        <v>0</v>
      </c>
      <c r="C27" s="4">
        <v>800</v>
      </c>
      <c r="D27" s="4">
        <v>901</v>
      </c>
      <c r="E27" s="4">
        <v>88.790233074361822</v>
      </c>
      <c r="F27" s="4">
        <v>710</v>
      </c>
      <c r="G27" s="4">
        <v>837</v>
      </c>
      <c r="H27" s="4">
        <v>84.826762246117084</v>
      </c>
      <c r="I27" s="4">
        <v>912</v>
      </c>
      <c r="J27" s="4">
        <v>1127</v>
      </c>
      <c r="K27" s="4">
        <v>80.922803904170365</v>
      </c>
      <c r="L27" s="5">
        <v>84.846599741549753</v>
      </c>
      <c r="M27" s="5">
        <v>3.9337520996706998</v>
      </c>
      <c r="O27">
        <v>0.25</v>
      </c>
      <c r="P27">
        <v>2.5560625762647824</v>
      </c>
      <c r="Q27">
        <v>9.6780251048375927</v>
      </c>
      <c r="R27">
        <v>825.2690276077002</v>
      </c>
      <c r="S27">
        <v>179.25273505097289</v>
      </c>
    </row>
    <row r="28" spans="1:19" x14ac:dyDescent="0.25">
      <c r="A28" s="48"/>
      <c r="B28" s="3">
        <v>0.25</v>
      </c>
      <c r="C28" s="4">
        <v>64</v>
      </c>
      <c r="D28" s="4">
        <v>1961</v>
      </c>
      <c r="E28" s="4">
        <v>3.2636409994900561</v>
      </c>
      <c r="F28" s="4">
        <v>35</v>
      </c>
      <c r="G28" s="4">
        <v>2053</v>
      </c>
      <c r="H28" s="4">
        <v>1.7048222113979543</v>
      </c>
      <c r="I28" s="4">
        <v>49</v>
      </c>
      <c r="J28" s="4">
        <v>1815</v>
      </c>
      <c r="K28" s="4">
        <v>2.6997245179063363</v>
      </c>
      <c r="L28" s="5">
        <v>2.5560625762647824</v>
      </c>
      <c r="M28" s="5">
        <v>0.78927692772207436</v>
      </c>
      <c r="O28">
        <v>1</v>
      </c>
      <c r="P28">
        <v>207.53595962339719</v>
      </c>
      <c r="Q28">
        <v>65.595171502312496</v>
      </c>
      <c r="R28">
        <v>503.97414988708425</v>
      </c>
      <c r="S28">
        <v>216.80572728456127</v>
      </c>
    </row>
    <row r="29" spans="1:19" x14ac:dyDescent="0.25">
      <c r="A29" s="48"/>
      <c r="B29" s="3">
        <v>1</v>
      </c>
      <c r="C29" s="4">
        <v>3267</v>
      </c>
      <c r="D29" s="4">
        <v>1491</v>
      </c>
      <c r="E29" s="4">
        <v>219.11468812877263</v>
      </c>
      <c r="F29" s="4">
        <v>3501</v>
      </c>
      <c r="G29" s="4">
        <v>1522</v>
      </c>
      <c r="H29" s="4">
        <v>230.02628120893561</v>
      </c>
      <c r="I29" s="4">
        <v>2857</v>
      </c>
      <c r="J29" s="4">
        <v>1647</v>
      </c>
      <c r="K29" s="4">
        <v>173.4669095324833</v>
      </c>
      <c r="L29" s="5">
        <v>207.53595962339719</v>
      </c>
      <c r="M29" s="5">
        <v>30.004847049429443</v>
      </c>
      <c r="O29">
        <v>3</v>
      </c>
      <c r="P29">
        <v>314.70763295521652</v>
      </c>
      <c r="Q29">
        <v>148.02926568509216</v>
      </c>
      <c r="R29">
        <v>414.34686682147839</v>
      </c>
      <c r="S29">
        <v>105.25538626556629</v>
      </c>
    </row>
    <row r="30" spans="1:19" x14ac:dyDescent="0.25">
      <c r="A30" s="48"/>
      <c r="B30" s="3">
        <v>3</v>
      </c>
      <c r="C30" s="4">
        <v>3878</v>
      </c>
      <c r="D30" s="4">
        <v>1141</v>
      </c>
      <c r="E30" s="4">
        <v>339.87730061349691</v>
      </c>
      <c r="F30" s="4">
        <v>3288</v>
      </c>
      <c r="G30" s="4">
        <v>930</v>
      </c>
      <c r="H30" s="4">
        <v>353.54838709677421</v>
      </c>
      <c r="I30" s="4">
        <v>2517</v>
      </c>
      <c r="J30" s="4">
        <v>1004</v>
      </c>
      <c r="K30" s="4">
        <v>250.69721115537851</v>
      </c>
      <c r="L30" s="5">
        <v>314.70763295521652</v>
      </c>
      <c r="M30" s="5">
        <v>55.854500495959854</v>
      </c>
      <c r="O30">
        <v>7</v>
      </c>
      <c r="P30">
        <v>11.422091252190961</v>
      </c>
      <c r="Q30">
        <v>24.950645765840608</v>
      </c>
      <c r="R30">
        <v>125.6781894814432</v>
      </c>
      <c r="S30">
        <v>67.495262931526796</v>
      </c>
    </row>
    <row r="31" spans="1:19" x14ac:dyDescent="0.25">
      <c r="A31" s="48"/>
      <c r="B31" s="3">
        <v>7</v>
      </c>
      <c r="C31" s="4">
        <v>219</v>
      </c>
      <c r="D31" s="4">
        <v>3116</v>
      </c>
      <c r="E31" s="4">
        <v>7.02824133504493</v>
      </c>
      <c r="F31" s="4">
        <v>262</v>
      </c>
      <c r="G31" s="4">
        <v>3001</v>
      </c>
      <c r="H31" s="4">
        <v>8.7304231922692423</v>
      </c>
      <c r="I31" s="4">
        <v>377</v>
      </c>
      <c r="J31" s="4">
        <v>2037</v>
      </c>
      <c r="K31" s="4">
        <v>18.507609229258716</v>
      </c>
      <c r="L31" s="5">
        <v>11.422091252190961</v>
      </c>
      <c r="M31" s="5">
        <v>6.1949801873192989</v>
      </c>
      <c r="O31">
        <v>14</v>
      </c>
      <c r="P31">
        <v>20.554188248705358</v>
      </c>
      <c r="Q31">
        <v>24.388179479247203</v>
      </c>
      <c r="R31">
        <v>119.01628675315889</v>
      </c>
      <c r="S31">
        <v>34.467373532425434</v>
      </c>
    </row>
    <row r="32" spans="1:19" x14ac:dyDescent="0.25">
      <c r="A32" s="48"/>
      <c r="B32" s="3">
        <v>14</v>
      </c>
      <c r="C32" s="4">
        <v>256</v>
      </c>
      <c r="D32" s="4">
        <v>1282</v>
      </c>
      <c r="E32" s="4">
        <v>19.968798751950079</v>
      </c>
      <c r="F32" s="4">
        <v>334</v>
      </c>
      <c r="G32" s="4">
        <v>1523</v>
      </c>
      <c r="H32" s="4">
        <v>21.930400525279055</v>
      </c>
      <c r="I32" s="4">
        <v>451</v>
      </c>
      <c r="J32" s="4">
        <v>2282</v>
      </c>
      <c r="K32" s="4">
        <v>19.763365468886942</v>
      </c>
      <c r="L32" s="5">
        <v>20.554188248705358</v>
      </c>
      <c r="M32" s="5">
        <v>1.1962528499826621</v>
      </c>
    </row>
    <row r="33" spans="1:14" x14ac:dyDescent="0.25">
      <c r="A33" s="48"/>
      <c r="B33" s="3" t="s">
        <v>7</v>
      </c>
      <c r="C33" s="4"/>
      <c r="D33" s="4"/>
      <c r="E33" s="7"/>
      <c r="F33" s="4"/>
      <c r="G33" s="4"/>
      <c r="H33" s="7"/>
      <c r="I33" s="4"/>
      <c r="J33" s="4"/>
      <c r="K33" s="7"/>
      <c r="L33" s="4"/>
      <c r="M33" s="4"/>
    </row>
    <row r="34" spans="1:14" x14ac:dyDescent="0.25">
      <c r="A34" s="49"/>
      <c r="B34" s="3" t="s">
        <v>11</v>
      </c>
      <c r="C34" s="4"/>
      <c r="D34" s="4"/>
      <c r="E34" s="7"/>
      <c r="F34" s="4"/>
      <c r="G34" s="4"/>
      <c r="H34" s="7"/>
      <c r="I34" s="4"/>
      <c r="J34" s="4"/>
      <c r="K34" s="7"/>
      <c r="L34" s="4"/>
      <c r="M34" s="4"/>
      <c r="N34" t="s">
        <v>18</v>
      </c>
    </row>
    <row r="35" spans="1:14" x14ac:dyDescent="0.25">
      <c r="A35" s="47" t="s">
        <v>10</v>
      </c>
      <c r="B35" s="3">
        <v>0</v>
      </c>
      <c r="C35" s="4">
        <v>696</v>
      </c>
      <c r="D35" s="4">
        <v>1251</v>
      </c>
      <c r="E35" s="4">
        <v>55.635491606714623</v>
      </c>
      <c r="F35" s="4">
        <v>386</v>
      </c>
      <c r="G35" s="4">
        <v>1238</v>
      </c>
      <c r="H35" s="4">
        <v>31.179321486268176</v>
      </c>
      <c r="I35" s="4">
        <v>289</v>
      </c>
      <c r="J35" s="4">
        <v>3627</v>
      </c>
      <c r="K35" s="4">
        <v>7.9680176454370004</v>
      </c>
      <c r="L35" s="5">
        <v>31.594276912806603</v>
      </c>
      <c r="M35" s="5">
        <v>23.836446032636246</v>
      </c>
      <c r="N35">
        <v>1.881240177393248E-2</v>
      </c>
    </row>
    <row r="36" spans="1:14" x14ac:dyDescent="0.25">
      <c r="A36" s="48"/>
      <c r="B36" s="3">
        <v>0.25</v>
      </c>
      <c r="C36" s="4">
        <v>9094</v>
      </c>
      <c r="D36" s="4">
        <v>917</v>
      </c>
      <c r="E36" s="4">
        <v>991.7121046892039</v>
      </c>
      <c r="F36" s="4">
        <v>7278</v>
      </c>
      <c r="G36" s="4">
        <v>1108</v>
      </c>
      <c r="H36" s="4">
        <v>656.85920577617333</v>
      </c>
      <c r="I36" s="4">
        <v>10175</v>
      </c>
      <c r="J36" s="4">
        <v>1230</v>
      </c>
      <c r="K36" s="4">
        <v>827.23577235772348</v>
      </c>
      <c r="L36" s="5">
        <v>825.2690276077002</v>
      </c>
      <c r="M36" s="5">
        <v>167.43511292825849</v>
      </c>
      <c r="N36">
        <v>1.0456056322102761E-3</v>
      </c>
    </row>
    <row r="37" spans="1:14" x14ac:dyDescent="0.25">
      <c r="A37" s="48"/>
      <c r="B37" s="3">
        <v>1</v>
      </c>
      <c r="C37" s="4">
        <v>6267</v>
      </c>
      <c r="D37" s="4">
        <v>1570</v>
      </c>
      <c r="E37" s="4">
        <v>399.171974522293</v>
      </c>
      <c r="F37" s="4">
        <v>8357</v>
      </c>
      <c r="G37" s="4">
        <v>1436</v>
      </c>
      <c r="H37" s="4">
        <v>581.96378830083563</v>
      </c>
      <c r="I37" s="4">
        <v>7017</v>
      </c>
      <c r="J37" s="4">
        <v>1322</v>
      </c>
      <c r="K37" s="4">
        <v>530.78668683812407</v>
      </c>
      <c r="L37" s="5">
        <v>503.97414988708425</v>
      </c>
      <c r="M37" s="5">
        <v>94.299501056078952</v>
      </c>
      <c r="N37">
        <v>6.5677019242966284E-3</v>
      </c>
    </row>
    <row r="38" spans="1:14" x14ac:dyDescent="0.25">
      <c r="A38" s="48"/>
      <c r="B38" s="3">
        <v>3</v>
      </c>
      <c r="C38" s="4">
        <v>6621</v>
      </c>
      <c r="D38" s="4">
        <v>1487</v>
      </c>
      <c r="E38" s="4">
        <v>445.25891055817084</v>
      </c>
      <c r="F38" s="4">
        <v>6754</v>
      </c>
      <c r="G38" s="4">
        <v>1636</v>
      </c>
      <c r="H38" s="4">
        <v>412.83618581907086</v>
      </c>
      <c r="I38" s="4">
        <v>5651</v>
      </c>
      <c r="J38" s="4">
        <v>1468</v>
      </c>
      <c r="K38" s="4">
        <v>384.94550408719346</v>
      </c>
      <c r="L38" s="5">
        <v>414.34686682147839</v>
      </c>
      <c r="M38" s="5">
        <v>30.18506862426538</v>
      </c>
      <c r="N38">
        <v>5.3081836036008155E-2</v>
      </c>
    </row>
    <row r="39" spans="1:14" x14ac:dyDescent="0.25">
      <c r="A39" s="48"/>
      <c r="B39" s="3">
        <v>7</v>
      </c>
      <c r="C39" s="4">
        <v>2492</v>
      </c>
      <c r="D39" s="4">
        <v>1737</v>
      </c>
      <c r="E39" s="4">
        <v>143.46574553828441</v>
      </c>
      <c r="F39" s="4">
        <v>2081</v>
      </c>
      <c r="G39" s="4">
        <v>1235</v>
      </c>
      <c r="H39" s="4">
        <v>168.50202429149797</v>
      </c>
      <c r="I39" s="4">
        <v>1315</v>
      </c>
      <c r="J39" s="4">
        <v>2021</v>
      </c>
      <c r="K39" s="4">
        <v>65.066798614547253</v>
      </c>
      <c r="L39" s="5">
        <v>125.6781894814432</v>
      </c>
      <c r="M39" s="5">
        <v>53.963036798969021</v>
      </c>
      <c r="N39">
        <v>2.1899771968046215E-2</v>
      </c>
    </row>
    <row r="40" spans="1:14" x14ac:dyDescent="0.25">
      <c r="A40" s="48"/>
      <c r="B40" s="3">
        <v>14</v>
      </c>
      <c r="C40" s="4">
        <v>2167</v>
      </c>
      <c r="D40" s="4">
        <v>1728</v>
      </c>
      <c r="E40" s="4">
        <v>125.40509259259258</v>
      </c>
      <c r="F40" s="4">
        <v>2055</v>
      </c>
      <c r="G40" s="4">
        <v>1728</v>
      </c>
      <c r="H40" s="4">
        <v>118.92361111111111</v>
      </c>
      <c r="I40" s="4">
        <v>1728</v>
      </c>
      <c r="J40" s="4">
        <v>1533</v>
      </c>
      <c r="K40" s="4">
        <v>112.72015655577299</v>
      </c>
      <c r="L40" s="5">
        <v>119.01628675315889</v>
      </c>
      <c r="M40" s="5">
        <v>6.3429758115196062</v>
      </c>
      <c r="N40">
        <v>1.2196230261268277E-5</v>
      </c>
    </row>
    <row r="41" spans="1:14" x14ac:dyDescent="0.25">
      <c r="A41" s="48"/>
      <c r="B41" s="3" t="s">
        <v>7</v>
      </c>
      <c r="C41" s="4"/>
      <c r="D41" s="4"/>
      <c r="E41" s="6"/>
      <c r="F41" s="4"/>
      <c r="G41" s="4"/>
      <c r="H41" s="6"/>
      <c r="I41" s="4"/>
      <c r="J41" s="4"/>
      <c r="K41" s="6"/>
      <c r="L41" s="4"/>
      <c r="M41" s="4"/>
    </row>
    <row r="42" spans="1:14" x14ac:dyDescent="0.25">
      <c r="A42" s="49"/>
      <c r="B42" s="3" t="s">
        <v>11</v>
      </c>
      <c r="C42" s="4"/>
      <c r="D42" s="4"/>
      <c r="E42" s="6"/>
      <c r="F42" s="4"/>
      <c r="G42" s="4"/>
      <c r="H42" s="6"/>
      <c r="I42" s="4"/>
      <c r="J42" s="4"/>
      <c r="K42" s="6"/>
      <c r="L42" s="4"/>
      <c r="M42" s="4"/>
    </row>
  </sheetData>
  <mergeCells count="14">
    <mergeCell ref="A27:A34"/>
    <mergeCell ref="A35:A42"/>
    <mergeCell ref="A12:A19"/>
    <mergeCell ref="A25:A26"/>
    <mergeCell ref="B25:B26"/>
    <mergeCell ref="C25:E25"/>
    <mergeCell ref="F25:H25"/>
    <mergeCell ref="I25:K25"/>
    <mergeCell ref="A2:A3"/>
    <mergeCell ref="B2:B3"/>
    <mergeCell ref="C2:E2"/>
    <mergeCell ref="F2:H2"/>
    <mergeCell ref="I2:K2"/>
    <mergeCell ref="A4:A1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7CAD-EFFC-4079-8AA0-615EB6AC7E71}">
  <dimension ref="A1:N151"/>
  <sheetViews>
    <sheetView topLeftCell="A46" workbookViewId="0">
      <selection activeCell="O92" sqref="O92"/>
    </sheetView>
  </sheetViews>
  <sheetFormatPr defaultRowHeight="15" x14ac:dyDescent="0.25"/>
  <cols>
    <col min="6" max="6" width="10" customWidth="1"/>
  </cols>
  <sheetData>
    <row r="1" spans="1:8" x14ac:dyDescent="0.25">
      <c r="A1" t="s">
        <v>46</v>
      </c>
    </row>
    <row r="2" spans="1:8" x14ac:dyDescent="0.25">
      <c r="A2" s="47" t="s">
        <v>0</v>
      </c>
      <c r="B2" s="47" t="s">
        <v>36</v>
      </c>
      <c r="C2" s="50" t="s">
        <v>12</v>
      </c>
      <c r="D2" s="52"/>
      <c r="E2" s="50" t="s">
        <v>2</v>
      </c>
      <c r="F2" s="52"/>
      <c r="G2" s="50" t="s">
        <v>3</v>
      </c>
      <c r="H2" s="52"/>
    </row>
    <row r="3" spans="1:8" x14ac:dyDescent="0.25">
      <c r="A3" s="49"/>
      <c r="B3" s="49"/>
      <c r="C3" s="3" t="s">
        <v>44</v>
      </c>
      <c r="D3" s="3" t="s">
        <v>6</v>
      </c>
      <c r="E3" s="3" t="s">
        <v>44</v>
      </c>
      <c r="F3" s="3" t="s">
        <v>6</v>
      </c>
      <c r="G3" s="3" t="s">
        <v>44</v>
      </c>
      <c r="H3" s="3" t="s">
        <v>6</v>
      </c>
    </row>
    <row r="4" spans="1:8" x14ac:dyDescent="0.25">
      <c r="A4" s="47" t="s">
        <v>9</v>
      </c>
      <c r="B4" s="3">
        <v>1</v>
      </c>
      <c r="C4" s="4">
        <v>1005</v>
      </c>
      <c r="D4" s="4">
        <v>0</v>
      </c>
      <c r="E4" s="4">
        <v>657</v>
      </c>
      <c r="F4" s="4">
        <v>91.442786069651746</v>
      </c>
      <c r="G4" s="4">
        <v>201</v>
      </c>
      <c r="H4" s="4">
        <v>96.019900497512438</v>
      </c>
    </row>
    <row r="5" spans="1:8" x14ac:dyDescent="0.25">
      <c r="A5" s="48"/>
      <c r="B5" s="3">
        <v>2</v>
      </c>
      <c r="C5" s="4">
        <v>989</v>
      </c>
      <c r="D5" s="4">
        <v>0</v>
      </c>
      <c r="E5" s="4">
        <v>553</v>
      </c>
      <c r="F5" s="4">
        <v>92.113245702730026</v>
      </c>
      <c r="G5" s="4">
        <v>158</v>
      </c>
      <c r="H5" s="4">
        <v>94.742163801820027</v>
      </c>
    </row>
    <row r="6" spans="1:8" x14ac:dyDescent="0.25">
      <c r="A6" s="48"/>
      <c r="B6" s="3">
        <v>3</v>
      </c>
      <c r="C6" s="4">
        <v>1009</v>
      </c>
      <c r="D6" s="4">
        <v>0</v>
      </c>
      <c r="E6" s="4">
        <v>533</v>
      </c>
      <c r="F6" s="4">
        <v>93.55797819623389</v>
      </c>
      <c r="G6" s="4">
        <v>188</v>
      </c>
      <c r="H6" s="4">
        <v>94.549058473736366</v>
      </c>
    </row>
    <row r="7" spans="1:8" x14ac:dyDescent="0.25">
      <c r="A7" s="49"/>
      <c r="B7" s="3">
        <v>4</v>
      </c>
      <c r="C7" s="4">
        <v>1017</v>
      </c>
      <c r="D7" s="4">
        <v>0</v>
      </c>
      <c r="E7" s="4">
        <v>554</v>
      </c>
      <c r="F7" s="4">
        <v>90.26548672566372</v>
      </c>
      <c r="G7" s="4">
        <v>146</v>
      </c>
      <c r="H7" s="4">
        <v>96.165191740412979</v>
      </c>
    </row>
    <row r="8" spans="1:8" x14ac:dyDescent="0.25">
      <c r="A8" s="50" t="s">
        <v>92</v>
      </c>
      <c r="B8" s="52"/>
      <c r="C8" s="4"/>
      <c r="D8" s="5">
        <v>0</v>
      </c>
      <c r="E8" s="4"/>
      <c r="F8" s="5">
        <v>91.844874173569849</v>
      </c>
      <c r="G8" s="4"/>
      <c r="H8" s="5">
        <v>95.369078628370445</v>
      </c>
    </row>
    <row r="9" spans="1:8" x14ac:dyDescent="0.25">
      <c r="A9" s="50" t="s">
        <v>11</v>
      </c>
      <c r="B9" s="52"/>
      <c r="C9" s="4"/>
      <c r="D9" s="5">
        <v>0</v>
      </c>
      <c r="E9" s="4"/>
      <c r="F9" s="5">
        <v>1.373910261995227</v>
      </c>
      <c r="G9" s="4"/>
      <c r="H9" s="5">
        <v>0.8411936848459981</v>
      </c>
    </row>
    <row r="10" spans="1:8" x14ac:dyDescent="0.25">
      <c r="A10" s="47" t="s">
        <v>10</v>
      </c>
      <c r="B10" s="3">
        <v>1</v>
      </c>
      <c r="C10" s="4">
        <v>831</v>
      </c>
      <c r="D10" s="4">
        <v>0</v>
      </c>
      <c r="E10" s="4">
        <v>788</v>
      </c>
      <c r="F10" s="4">
        <v>53.309265944645006</v>
      </c>
      <c r="G10" s="4">
        <v>768</v>
      </c>
      <c r="H10" s="4">
        <v>67.749699157641402</v>
      </c>
    </row>
    <row r="11" spans="1:8" x14ac:dyDescent="0.25">
      <c r="A11" s="48"/>
      <c r="B11" s="3">
        <v>2</v>
      </c>
      <c r="C11" s="4">
        <v>818</v>
      </c>
      <c r="D11" s="4">
        <v>0</v>
      </c>
      <c r="E11" s="4">
        <v>801</v>
      </c>
      <c r="F11" s="4">
        <v>50.977995110024452</v>
      </c>
      <c r="G11" s="4">
        <v>745</v>
      </c>
      <c r="H11" s="4">
        <v>70.048899755501225</v>
      </c>
    </row>
    <row r="12" spans="1:8" x14ac:dyDescent="0.25">
      <c r="A12" s="48"/>
      <c r="B12" s="3">
        <v>3</v>
      </c>
      <c r="C12" s="4">
        <v>843</v>
      </c>
      <c r="D12" s="4">
        <v>0</v>
      </c>
      <c r="E12" s="4">
        <v>824</v>
      </c>
      <c r="F12" s="4">
        <v>49.703440094899165</v>
      </c>
      <c r="G12" s="4">
        <v>756</v>
      </c>
      <c r="H12" s="4">
        <v>75.563463819691577</v>
      </c>
    </row>
    <row r="13" spans="1:8" x14ac:dyDescent="0.25">
      <c r="A13" s="49"/>
      <c r="B13" s="3">
        <v>4</v>
      </c>
      <c r="C13" s="4">
        <v>848</v>
      </c>
      <c r="D13" s="4">
        <v>0</v>
      </c>
      <c r="E13" s="4">
        <v>798</v>
      </c>
      <c r="F13" s="4">
        <v>41.273584905660378</v>
      </c>
      <c r="G13" s="4">
        <v>775</v>
      </c>
      <c r="H13" s="4">
        <v>67.570754716981128</v>
      </c>
    </row>
    <row r="14" spans="1:8" x14ac:dyDescent="0.25">
      <c r="A14" s="50" t="s">
        <v>92</v>
      </c>
      <c r="B14" s="52"/>
      <c r="C14" s="4"/>
      <c r="D14" s="5">
        <v>0</v>
      </c>
      <c r="E14" s="4"/>
      <c r="F14" s="5">
        <v>48.816071513807252</v>
      </c>
      <c r="G14" s="4"/>
      <c r="H14" s="5">
        <v>70.233204362453833</v>
      </c>
    </row>
    <row r="15" spans="1:8" x14ac:dyDescent="0.25">
      <c r="A15" s="50" t="s">
        <v>11</v>
      </c>
      <c r="B15" s="52"/>
      <c r="C15" s="4"/>
      <c r="D15" s="5">
        <v>0</v>
      </c>
      <c r="E15" s="4"/>
      <c r="F15" s="5">
        <v>5.2452911283034336</v>
      </c>
      <c r="G15" s="4"/>
      <c r="H15" s="5">
        <v>3.7283629243330796</v>
      </c>
    </row>
    <row r="16" spans="1:8" x14ac:dyDescent="0.25">
      <c r="B16" t="s">
        <v>45</v>
      </c>
      <c r="D16" t="e">
        <v>#DIV/0!</v>
      </c>
      <c r="F16">
        <v>3.9700631569990517E-6</v>
      </c>
      <c r="H16">
        <v>1.1919937917295025E-5</v>
      </c>
    </row>
    <row r="17" spans="2:5" x14ac:dyDescent="0.25">
      <c r="C17">
        <v>0</v>
      </c>
      <c r="D17">
        <v>1</v>
      </c>
      <c r="E17">
        <v>2</v>
      </c>
    </row>
    <row r="18" spans="2:5" x14ac:dyDescent="0.25">
      <c r="B18" t="s">
        <v>9</v>
      </c>
      <c r="C18">
        <v>0</v>
      </c>
      <c r="D18">
        <v>91.844874173569849</v>
      </c>
      <c r="E18">
        <v>95.369078628370445</v>
      </c>
    </row>
    <row r="19" spans="2:5" x14ac:dyDescent="0.25">
      <c r="C19">
        <v>0</v>
      </c>
      <c r="D19">
        <v>1.373910261995227</v>
      </c>
      <c r="E19">
        <v>0.8411936848459981</v>
      </c>
    </row>
    <row r="20" spans="2:5" x14ac:dyDescent="0.25">
      <c r="B20" t="s">
        <v>10</v>
      </c>
      <c r="C20">
        <v>0</v>
      </c>
      <c r="D20">
        <v>48.816071513807252</v>
      </c>
      <c r="E20">
        <v>70.233204362453833</v>
      </c>
    </row>
    <row r="21" spans="2:5" x14ac:dyDescent="0.25">
      <c r="C21">
        <v>0</v>
      </c>
      <c r="D21">
        <v>5.2452911283034336</v>
      </c>
      <c r="E21">
        <v>3.7283629243330796</v>
      </c>
    </row>
    <row r="34" spans="1:14" x14ac:dyDescent="0.25">
      <c r="A34" t="s">
        <v>40</v>
      </c>
    </row>
    <row r="35" spans="1:14" x14ac:dyDescent="0.25">
      <c r="A35" s="45" t="s">
        <v>13</v>
      </c>
      <c r="B35" s="45" t="s">
        <v>41</v>
      </c>
      <c r="C35" s="46">
        <v>1</v>
      </c>
      <c r="D35" s="46"/>
      <c r="E35" s="46"/>
      <c r="F35" s="46">
        <v>2</v>
      </c>
      <c r="G35" s="46"/>
      <c r="H35" s="46"/>
      <c r="I35" s="50">
        <v>3</v>
      </c>
      <c r="J35" s="51"/>
      <c r="K35" s="52"/>
      <c r="L35" s="3" t="s">
        <v>92</v>
      </c>
      <c r="M35" s="3" t="s">
        <v>11</v>
      </c>
    </row>
    <row r="36" spans="1:14" x14ac:dyDescent="0.25">
      <c r="A36" s="45"/>
      <c r="B36" s="45"/>
      <c r="C36" s="3" t="s">
        <v>42</v>
      </c>
      <c r="D36" s="3" t="s">
        <v>15</v>
      </c>
      <c r="E36" s="3" t="s">
        <v>6</v>
      </c>
      <c r="F36" s="3" t="s">
        <v>42</v>
      </c>
      <c r="G36" s="3" t="s">
        <v>15</v>
      </c>
      <c r="H36" s="3" t="s">
        <v>6</v>
      </c>
      <c r="I36" s="3" t="s">
        <v>42</v>
      </c>
      <c r="J36" s="3" t="s">
        <v>15</v>
      </c>
      <c r="K36" s="3" t="s">
        <v>6</v>
      </c>
      <c r="L36" s="3" t="s">
        <v>6</v>
      </c>
      <c r="M36" s="3" t="s">
        <v>6</v>
      </c>
    </row>
    <row r="37" spans="1:14" x14ac:dyDescent="0.25">
      <c r="A37" s="45" t="s">
        <v>43</v>
      </c>
      <c r="B37" s="3">
        <v>0</v>
      </c>
      <c r="C37" s="4">
        <v>1161</v>
      </c>
      <c r="D37" s="4">
        <v>3107595</v>
      </c>
      <c r="E37" s="4">
        <v>0</v>
      </c>
      <c r="F37" s="4">
        <v>71871</v>
      </c>
      <c r="G37" s="4">
        <v>3005097</v>
      </c>
      <c r="H37" s="4">
        <v>0</v>
      </c>
      <c r="I37" s="4">
        <v>5608</v>
      </c>
      <c r="J37" s="4">
        <v>2277261</v>
      </c>
      <c r="K37" s="4">
        <v>0</v>
      </c>
      <c r="L37" s="5">
        <v>0</v>
      </c>
      <c r="M37" s="5">
        <v>0</v>
      </c>
    </row>
    <row r="38" spans="1:14" x14ac:dyDescent="0.25">
      <c r="A38" s="45"/>
      <c r="B38" s="3">
        <v>7</v>
      </c>
      <c r="C38" s="4">
        <v>2456619</v>
      </c>
      <c r="D38" s="4">
        <v>3181212</v>
      </c>
      <c r="E38" s="4">
        <v>22.777262250991132</v>
      </c>
      <c r="F38" s="4">
        <v>1719174</v>
      </c>
      <c r="G38" s="4">
        <v>2571387</v>
      </c>
      <c r="H38" s="4">
        <v>33.14215246479818</v>
      </c>
      <c r="I38" s="4">
        <v>1426778</v>
      </c>
      <c r="J38" s="4">
        <v>3284994</v>
      </c>
      <c r="K38" s="4">
        <v>56.56680042642391</v>
      </c>
      <c r="L38" s="5">
        <v>37.495405047404411</v>
      </c>
      <c r="M38" s="5">
        <v>17.310295449911681</v>
      </c>
    </row>
    <row r="39" spans="1:14" x14ac:dyDescent="0.25">
      <c r="A39" s="45"/>
      <c r="B39" s="3">
        <v>24</v>
      </c>
      <c r="C39" s="4">
        <v>606086</v>
      </c>
      <c r="D39" s="4">
        <v>3187785</v>
      </c>
      <c r="E39" s="4">
        <v>80.987237219574098</v>
      </c>
      <c r="F39" s="4">
        <v>456807</v>
      </c>
      <c r="G39" s="4">
        <v>2962869</v>
      </c>
      <c r="H39" s="4">
        <v>84.582274815390079</v>
      </c>
      <c r="I39" s="4">
        <v>1062349</v>
      </c>
      <c r="J39" s="4">
        <v>3197718</v>
      </c>
      <c r="K39" s="4">
        <v>66.777902241535998</v>
      </c>
      <c r="L39" s="5">
        <v>77.449138092166734</v>
      </c>
      <c r="M39" s="5">
        <v>9.4147506479817338</v>
      </c>
    </row>
    <row r="40" spans="1:14" x14ac:dyDescent="0.25">
      <c r="A40" s="45"/>
      <c r="B40" s="3">
        <v>30</v>
      </c>
      <c r="C40" s="4">
        <v>443555</v>
      </c>
      <c r="D40" s="4">
        <v>3282604</v>
      </c>
      <c r="E40" s="4">
        <v>86.487709147981292</v>
      </c>
      <c r="F40" s="4">
        <v>176752</v>
      </c>
      <c r="G40" s="4">
        <v>2732070</v>
      </c>
      <c r="H40" s="4">
        <v>93.530473230920137</v>
      </c>
      <c r="I40" s="4">
        <v>592966</v>
      </c>
      <c r="J40" s="4">
        <v>2964969</v>
      </c>
      <c r="K40" s="4">
        <v>80.000937615199348</v>
      </c>
      <c r="L40" s="5">
        <v>86.673039998033587</v>
      </c>
      <c r="M40" s="5">
        <v>6.7666715700741795</v>
      </c>
    </row>
    <row r="41" spans="1:14" x14ac:dyDescent="0.25">
      <c r="A41" s="45"/>
      <c r="B41" s="3">
        <v>48</v>
      </c>
      <c r="C41" s="4">
        <v>63803</v>
      </c>
      <c r="D41" s="4">
        <v>3314142</v>
      </c>
      <c r="E41" s="4">
        <v>98.074826003230996</v>
      </c>
      <c r="F41" s="4">
        <v>71310</v>
      </c>
      <c r="G41" s="4">
        <v>3123342</v>
      </c>
      <c r="H41" s="4">
        <v>97.716868661837225</v>
      </c>
      <c r="I41" s="4">
        <v>398207</v>
      </c>
      <c r="J41" s="4">
        <v>3247335</v>
      </c>
      <c r="K41" s="4">
        <v>87.73742160879614</v>
      </c>
      <c r="L41" s="5">
        <v>94.509705424621458</v>
      </c>
      <c r="M41" s="5">
        <v>5.8677000968123387</v>
      </c>
    </row>
    <row r="42" spans="1:14" x14ac:dyDescent="0.25">
      <c r="A42" s="45"/>
      <c r="B42" s="3" t="s">
        <v>7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4" x14ac:dyDescent="0.25">
      <c r="A43" s="45"/>
      <c r="B43" s="3" t="s">
        <v>8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t="s">
        <v>18</v>
      </c>
    </row>
    <row r="44" spans="1:14" x14ac:dyDescent="0.25">
      <c r="A44" s="45" t="s">
        <v>32</v>
      </c>
      <c r="B44" s="3">
        <v>0</v>
      </c>
      <c r="C44" s="4"/>
      <c r="D44" s="4">
        <v>3223558</v>
      </c>
      <c r="E44" s="4">
        <v>0</v>
      </c>
      <c r="F44" s="4"/>
      <c r="G44" s="4">
        <v>2458170</v>
      </c>
      <c r="H44" s="4">
        <v>0</v>
      </c>
      <c r="I44" s="4"/>
      <c r="J44" s="4">
        <v>3223809</v>
      </c>
      <c r="K44" s="4">
        <v>0</v>
      </c>
      <c r="L44" s="5">
        <v>0</v>
      </c>
      <c r="M44" s="5">
        <v>0</v>
      </c>
      <c r="N44" t="e">
        <v>#DIV/0!</v>
      </c>
    </row>
    <row r="45" spans="1:14" x14ac:dyDescent="0.25">
      <c r="A45" s="45"/>
      <c r="B45" s="3">
        <v>7</v>
      </c>
      <c r="C45" s="4">
        <v>2730674</v>
      </c>
      <c r="D45" s="4">
        <v>3187779</v>
      </c>
      <c r="E45" s="4">
        <v>14.339293909646811</v>
      </c>
      <c r="F45" s="4">
        <v>2306688</v>
      </c>
      <c r="G45" s="4">
        <v>2476911</v>
      </c>
      <c r="H45" s="4">
        <v>6.8723906510972741</v>
      </c>
      <c r="I45" s="4">
        <v>2894463</v>
      </c>
      <c r="J45" s="4">
        <v>3276414</v>
      </c>
      <c r="K45" s="4">
        <v>11.657592721798894</v>
      </c>
      <c r="L45" s="5">
        <v>10.95642576084766</v>
      </c>
      <c r="M45" s="5">
        <v>3.7825107268164633</v>
      </c>
      <c r="N45">
        <v>6.0412689281179904E-2</v>
      </c>
    </row>
    <row r="46" spans="1:14" x14ac:dyDescent="0.25">
      <c r="A46" s="45"/>
      <c r="B46" s="3">
        <v>24</v>
      </c>
      <c r="C46" s="4">
        <v>1932953</v>
      </c>
      <c r="D46" s="4">
        <v>3214038</v>
      </c>
      <c r="E46" s="4">
        <v>39.859049581865555</v>
      </c>
      <c r="F46" s="4">
        <v>979711</v>
      </c>
      <c r="G46" s="4">
        <v>2363643</v>
      </c>
      <c r="H46" s="4">
        <v>58.550804838124883</v>
      </c>
      <c r="I46" s="4">
        <v>1196701</v>
      </c>
      <c r="J46" s="4">
        <v>3084918</v>
      </c>
      <c r="K46" s="4">
        <v>61.208012660304099</v>
      </c>
      <c r="L46" s="5">
        <v>53.205955693431513</v>
      </c>
      <c r="M46" s="5">
        <v>11.634866368625842</v>
      </c>
      <c r="N46">
        <v>4.8536054423227906E-2</v>
      </c>
    </row>
    <row r="47" spans="1:14" x14ac:dyDescent="0.25">
      <c r="A47" s="45"/>
      <c r="B47" s="3">
        <v>30</v>
      </c>
      <c r="C47" s="4">
        <v>1501557</v>
      </c>
      <c r="D47" s="4">
        <v>2991919</v>
      </c>
      <c r="E47" s="4">
        <v>49.812912715885695</v>
      </c>
      <c r="F47" s="4">
        <v>962161</v>
      </c>
      <c r="G47" s="4">
        <v>2433908</v>
      </c>
      <c r="H47" s="4">
        <v>60.468472925024287</v>
      </c>
      <c r="I47" s="4">
        <v>1060097</v>
      </c>
      <c r="J47" s="4">
        <v>3320388</v>
      </c>
      <c r="K47" s="4">
        <v>68.073098686057179</v>
      </c>
      <c r="L47" s="5">
        <v>59.451494775655725</v>
      </c>
      <c r="M47" s="5">
        <v>9.1724741119030337</v>
      </c>
      <c r="N47">
        <v>1.4417606352567254E-2</v>
      </c>
    </row>
    <row r="48" spans="1:14" x14ac:dyDescent="0.25">
      <c r="A48" s="45"/>
      <c r="B48" s="3">
        <v>48</v>
      </c>
      <c r="C48" s="4">
        <v>1432351</v>
      </c>
      <c r="D48" s="4">
        <v>3068547</v>
      </c>
      <c r="E48" s="4">
        <v>53.321523183448058</v>
      </c>
      <c r="F48" s="4">
        <v>684886</v>
      </c>
      <c r="G48" s="4">
        <v>2374635</v>
      </c>
      <c r="H48" s="4">
        <v>71.158262217140745</v>
      </c>
      <c r="I48" s="4">
        <v>1097136</v>
      </c>
      <c r="J48" s="4">
        <v>3092580</v>
      </c>
      <c r="K48" s="4">
        <v>64.523601652988773</v>
      </c>
      <c r="L48" s="5">
        <v>63.001129017859192</v>
      </c>
      <c r="M48" s="5">
        <v>9.0153068185477689</v>
      </c>
      <c r="N48">
        <v>7.1127208161223462E-3</v>
      </c>
    </row>
    <row r="49" spans="1:13" x14ac:dyDescent="0.25">
      <c r="A49" s="45"/>
      <c r="B49" s="3" t="s">
        <v>7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x14ac:dyDescent="0.25">
      <c r="A50" s="45"/>
      <c r="B50" s="3" t="s">
        <v>8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4" spans="1:13" x14ac:dyDescent="0.25">
      <c r="C54" t="s">
        <v>31</v>
      </c>
      <c r="E54" t="s">
        <v>32</v>
      </c>
    </row>
    <row r="55" spans="1:13" x14ac:dyDescent="0.25">
      <c r="B55">
        <v>0</v>
      </c>
      <c r="C55">
        <v>0</v>
      </c>
      <c r="D55">
        <v>0</v>
      </c>
      <c r="E55">
        <v>0</v>
      </c>
      <c r="F55">
        <v>0</v>
      </c>
    </row>
    <row r="56" spans="1:13" x14ac:dyDescent="0.25">
      <c r="B56">
        <v>7</v>
      </c>
      <c r="C56">
        <v>37.495405047404411</v>
      </c>
      <c r="D56">
        <v>17.310295449911681</v>
      </c>
      <c r="E56">
        <v>10.95642576084766</v>
      </c>
      <c r="F56">
        <v>3.7825107268164633</v>
      </c>
    </row>
    <row r="57" spans="1:13" x14ac:dyDescent="0.25">
      <c r="B57">
        <v>24</v>
      </c>
      <c r="C57">
        <v>77.449138092166734</v>
      </c>
      <c r="D57">
        <v>9.4147506479817338</v>
      </c>
      <c r="E57">
        <v>53.205955693431513</v>
      </c>
      <c r="F57">
        <v>11.634866368625842</v>
      </c>
    </row>
    <row r="58" spans="1:13" x14ac:dyDescent="0.25">
      <c r="B58">
        <v>30</v>
      </c>
      <c r="C58">
        <v>86.673039998033587</v>
      </c>
      <c r="D58">
        <v>6.7666715700741795</v>
      </c>
      <c r="E58">
        <v>59.451494775655725</v>
      </c>
      <c r="F58">
        <v>9.1724741119030337</v>
      </c>
    </row>
    <row r="59" spans="1:13" x14ac:dyDescent="0.25">
      <c r="B59">
        <v>48</v>
      </c>
      <c r="C59">
        <v>94.509705424621458</v>
      </c>
      <c r="D59">
        <v>5.8677000968123387</v>
      </c>
      <c r="E59">
        <v>63.001129017859192</v>
      </c>
      <c r="F59">
        <v>9.0153068185477689</v>
      </c>
    </row>
    <row r="67" spans="1:14" x14ac:dyDescent="0.25">
      <c r="A67" t="s">
        <v>128</v>
      </c>
    </row>
    <row r="68" spans="1:14" x14ac:dyDescent="0.25">
      <c r="A68" s="27" t="s">
        <v>57</v>
      </c>
      <c r="B68" s="28"/>
      <c r="C68" s="34" t="s">
        <v>58</v>
      </c>
      <c r="D68" s="34" t="s">
        <v>59</v>
      </c>
      <c r="E68" s="34" t="s">
        <v>60</v>
      </c>
      <c r="F68" s="34" t="s">
        <v>92</v>
      </c>
      <c r="G68" s="34" t="s">
        <v>11</v>
      </c>
      <c r="H68" s="44" t="s">
        <v>45</v>
      </c>
    </row>
    <row r="69" spans="1:14" x14ac:dyDescent="0.25">
      <c r="A69" s="27" t="s">
        <v>129</v>
      </c>
      <c r="B69" s="28"/>
      <c r="C69" s="24">
        <v>28.33</v>
      </c>
      <c r="D69" s="22">
        <v>1.035264923841378</v>
      </c>
      <c r="E69" s="24">
        <v>1.035264923841378</v>
      </c>
      <c r="F69" s="22"/>
      <c r="G69" s="24"/>
      <c r="H69" s="24"/>
    </row>
    <row r="70" spans="1:14" x14ac:dyDescent="0.25">
      <c r="A70" s="30" t="s">
        <v>129</v>
      </c>
      <c r="B70" s="31"/>
      <c r="C70" s="25">
        <v>28.43</v>
      </c>
      <c r="D70">
        <v>0.96593632892484504</v>
      </c>
      <c r="E70" s="25">
        <v>0.96593632892484504</v>
      </c>
      <c r="G70" s="25"/>
      <c r="H70" s="25"/>
      <c r="K70" t="s">
        <v>9</v>
      </c>
      <c r="M70" t="s">
        <v>10</v>
      </c>
    </row>
    <row r="71" spans="1:14" x14ac:dyDescent="0.25">
      <c r="A71" s="32" t="s">
        <v>129</v>
      </c>
      <c r="B71" s="33"/>
      <c r="C71" s="38">
        <v>28.380000000000003</v>
      </c>
      <c r="D71" s="23">
        <v>1.0103584000000001</v>
      </c>
      <c r="E71" s="26">
        <v>1.0103584000000001</v>
      </c>
      <c r="F71" s="23">
        <v>1.0004004175887402</v>
      </c>
      <c r="G71" s="26">
        <v>3.4666031918280056E-2</v>
      </c>
      <c r="H71" s="25"/>
      <c r="J71" t="s">
        <v>137</v>
      </c>
      <c r="K71">
        <v>1.0004004175887402</v>
      </c>
      <c r="L71">
        <v>3.4666031918280056E-2</v>
      </c>
      <c r="M71">
        <v>0.6537116825650906</v>
      </c>
      <c r="N71">
        <v>2.2655886467565496E-3</v>
      </c>
    </row>
    <row r="72" spans="1:14" x14ac:dyDescent="0.25">
      <c r="A72" s="30" t="s">
        <v>130</v>
      </c>
      <c r="B72" s="31"/>
      <c r="C72" s="25">
        <v>34.43</v>
      </c>
      <c r="D72">
        <v>1.5092755139450711E-2</v>
      </c>
      <c r="E72" s="25">
        <v>0.65597857873134169</v>
      </c>
      <c r="G72" s="25"/>
      <c r="H72" s="25"/>
      <c r="J72" t="s">
        <v>138</v>
      </c>
      <c r="K72">
        <v>1.0000640614277936</v>
      </c>
      <c r="L72">
        <v>1.3863498656107653E-2</v>
      </c>
      <c r="M72">
        <v>0.21787526618661415</v>
      </c>
      <c r="N72">
        <v>2.1870243259486128E-2</v>
      </c>
    </row>
    <row r="73" spans="1:14" x14ac:dyDescent="0.25">
      <c r="A73" s="30" t="s">
        <v>130</v>
      </c>
      <c r="B73" s="31"/>
      <c r="C73" s="25">
        <v>34.44</v>
      </c>
      <c r="D73">
        <v>1.4988501864457278E-2</v>
      </c>
      <c r="E73" s="25">
        <v>0.65144740370554921</v>
      </c>
      <c r="G73" s="25"/>
      <c r="H73" s="25"/>
      <c r="J73" t="s">
        <v>139</v>
      </c>
      <c r="K73">
        <v>1.074874795212035</v>
      </c>
      <c r="L73">
        <v>0.27838424507581405</v>
      </c>
      <c r="M73">
        <v>0.13040989053741212</v>
      </c>
      <c r="N73">
        <v>2.2513921023478996E-2</v>
      </c>
    </row>
    <row r="74" spans="1:14" x14ac:dyDescent="0.25">
      <c r="A74" s="30" t="s">
        <v>130</v>
      </c>
      <c r="B74" s="31"/>
      <c r="C74" s="38">
        <v>34.435000000000002</v>
      </c>
      <c r="D74" s="23">
        <v>1.5040538173464828E-2</v>
      </c>
      <c r="E74" s="26">
        <v>0.65370906525838091</v>
      </c>
      <c r="F74" s="23">
        <v>0.6537116825650906</v>
      </c>
      <c r="G74" s="26">
        <v>2.2655886467565496E-3</v>
      </c>
      <c r="H74" s="26">
        <v>6.5741469309994004E-5</v>
      </c>
      <c r="J74" t="s">
        <v>140</v>
      </c>
      <c r="K74">
        <v>0.95224077480200908</v>
      </c>
      <c r="L74">
        <v>0.28305584010705942</v>
      </c>
      <c r="M74">
        <v>0.45557346339362703</v>
      </c>
      <c r="N74">
        <v>8.3330653724405152E-2</v>
      </c>
    </row>
    <row r="75" spans="1:14" x14ac:dyDescent="0.25">
      <c r="A75" s="27" t="s">
        <v>131</v>
      </c>
      <c r="B75" s="28"/>
      <c r="C75" s="24">
        <v>26.27</v>
      </c>
      <c r="D75" s="22">
        <v>1.0139594797900289</v>
      </c>
      <c r="E75" s="24">
        <v>1.0139594797900289</v>
      </c>
      <c r="F75" s="22"/>
      <c r="G75" s="24"/>
      <c r="H75" s="24"/>
    </row>
    <row r="76" spans="1:14" x14ac:dyDescent="0.25">
      <c r="A76" s="30" t="s">
        <v>131</v>
      </c>
      <c r="B76" s="31"/>
      <c r="C76" s="25">
        <v>26.31</v>
      </c>
      <c r="D76">
        <v>0.98623270449335942</v>
      </c>
      <c r="E76" s="25">
        <v>0.98623270449335942</v>
      </c>
      <c r="G76" s="25"/>
      <c r="H76" s="25"/>
    </row>
    <row r="77" spans="1:14" x14ac:dyDescent="0.25">
      <c r="A77" s="32" t="s">
        <v>131</v>
      </c>
      <c r="B77" s="33"/>
      <c r="C77" s="38">
        <v>26.29000000000001</v>
      </c>
      <c r="D77" s="23">
        <v>0.99365840000000005</v>
      </c>
      <c r="E77" s="26">
        <v>0.99365840000000005</v>
      </c>
      <c r="F77" s="23">
        <v>1.0000640614277936</v>
      </c>
      <c r="G77" s="26">
        <v>1.3863498656107653E-2</v>
      </c>
      <c r="H77" s="25"/>
    </row>
    <row r="78" spans="1:14" x14ac:dyDescent="0.25">
      <c r="A78" s="30" t="s">
        <v>132</v>
      </c>
      <c r="B78" s="31"/>
      <c r="C78" s="25">
        <v>34.08</v>
      </c>
      <c r="D78">
        <v>4.5183132183800314E-3</v>
      </c>
      <c r="E78" s="25">
        <v>0.19638009467924336</v>
      </c>
      <c r="G78" s="25"/>
      <c r="H78" s="25"/>
    </row>
    <row r="79" spans="1:14" x14ac:dyDescent="0.25">
      <c r="A79" s="30" t="s">
        <v>132</v>
      </c>
      <c r="B79" s="31"/>
      <c r="C79" s="25">
        <v>33.79</v>
      </c>
      <c r="D79">
        <v>5.5242717280199038E-3</v>
      </c>
      <c r="E79" s="25">
        <v>0.24010221349182473</v>
      </c>
      <c r="G79" s="25"/>
      <c r="H79" s="25"/>
    </row>
    <row r="80" spans="1:14" x14ac:dyDescent="0.25">
      <c r="A80" s="30" t="s">
        <v>132</v>
      </c>
      <c r="B80" s="31"/>
      <c r="C80" s="38">
        <v>33.935000000000009</v>
      </c>
      <c r="D80" s="23">
        <v>4.9960374268649219E-3</v>
      </c>
      <c r="E80" s="26">
        <v>0.21714349038877442</v>
      </c>
      <c r="F80" s="23">
        <v>0.21787526618661415</v>
      </c>
      <c r="G80" s="26">
        <v>2.1870243259486128E-2</v>
      </c>
      <c r="H80" s="26">
        <v>7.9874540087189074E-7</v>
      </c>
    </row>
    <row r="81" spans="1:8" x14ac:dyDescent="0.25">
      <c r="A81" s="27" t="s">
        <v>133</v>
      </c>
      <c r="B81" s="28"/>
      <c r="C81" s="24">
        <v>32.68</v>
      </c>
      <c r="D81" s="22">
        <v>1.3058597870889159</v>
      </c>
      <c r="E81" s="24">
        <v>1.3058597870889159</v>
      </c>
      <c r="F81" s="22"/>
      <c r="G81" s="24"/>
      <c r="H81" s="24"/>
    </row>
    <row r="82" spans="1:8" x14ac:dyDescent="0.25">
      <c r="A82" s="30" t="s">
        <v>133</v>
      </c>
      <c r="B82" s="31"/>
      <c r="C82" s="25">
        <v>33.450000000000003</v>
      </c>
      <c r="D82">
        <v>0.76577899854718867</v>
      </c>
      <c r="E82" s="25">
        <v>0.76577899854718867</v>
      </c>
      <c r="G82" s="25"/>
      <c r="H82" s="25"/>
    </row>
    <row r="83" spans="1:8" x14ac:dyDescent="0.25">
      <c r="A83" s="32" t="s">
        <v>133</v>
      </c>
      <c r="B83" s="33"/>
      <c r="C83" s="38">
        <v>32.965000000000003</v>
      </c>
      <c r="D83" s="23">
        <v>1.0029855999999999</v>
      </c>
      <c r="E83" s="26">
        <v>1.1529856000000001</v>
      </c>
      <c r="F83" s="23">
        <v>1.074874795212035</v>
      </c>
      <c r="G83" s="26">
        <v>0.27838424507581405</v>
      </c>
      <c r="H83" s="25"/>
    </row>
    <row r="84" spans="1:8" x14ac:dyDescent="0.25">
      <c r="A84" s="30" t="s">
        <v>134</v>
      </c>
      <c r="B84" s="31"/>
      <c r="C84" s="25">
        <v>41.21</v>
      </c>
      <c r="D84">
        <v>3.5327319435979917E-3</v>
      </c>
      <c r="E84" s="25">
        <v>0.15354363454441897</v>
      </c>
      <c r="G84" s="25"/>
      <c r="H84" s="25"/>
    </row>
    <row r="85" spans="1:8" x14ac:dyDescent="0.25">
      <c r="A85" s="30" t="s">
        <v>134</v>
      </c>
      <c r="B85" s="31"/>
      <c r="C85" s="25">
        <v>41.71</v>
      </c>
      <c r="D85">
        <v>2.4980187134324722E-3</v>
      </c>
      <c r="E85" s="25">
        <v>0.1085717451943877</v>
      </c>
      <c r="G85" s="25"/>
      <c r="H85" s="25"/>
    </row>
    <row r="86" spans="1:8" x14ac:dyDescent="0.25">
      <c r="A86" s="30" t="s">
        <v>134</v>
      </c>
      <c r="B86" s="31"/>
      <c r="C86" s="38">
        <v>41.459999999999987</v>
      </c>
      <c r="D86" s="23">
        <v>2.9706616274238697E-3</v>
      </c>
      <c r="E86" s="26">
        <v>0.12911429187342965</v>
      </c>
      <c r="F86" s="23">
        <v>0.13040989053741212</v>
      </c>
      <c r="G86" s="26">
        <v>2.2513921023478996E-2</v>
      </c>
      <c r="H86" s="26">
        <v>4.6985443252990583E-3</v>
      </c>
    </row>
    <row r="87" spans="1:8" x14ac:dyDescent="0.25">
      <c r="A87" s="27" t="s">
        <v>135</v>
      </c>
      <c r="B87" s="28"/>
      <c r="C87" s="25">
        <v>36.67</v>
      </c>
      <c r="D87" s="22">
        <v>1.2789855812774322</v>
      </c>
      <c r="E87" s="24">
        <v>1.2789855812774322</v>
      </c>
      <c r="F87" s="22"/>
      <c r="G87" s="24"/>
      <c r="H87" s="24"/>
    </row>
    <row r="88" spans="1:8" x14ac:dyDescent="0.25">
      <c r="A88" s="30" t="s">
        <v>135</v>
      </c>
      <c r="B88" s="31"/>
      <c r="C88" s="25">
        <v>37.380000000000003</v>
      </c>
      <c r="D88">
        <v>0.78186964312859519</v>
      </c>
      <c r="E88" s="25">
        <v>0.78186964312859519</v>
      </c>
      <c r="G88" s="25"/>
      <c r="H88" s="25"/>
    </row>
    <row r="89" spans="1:8" x14ac:dyDescent="0.25">
      <c r="A89" s="32" t="s">
        <v>135</v>
      </c>
      <c r="B89" s="33"/>
      <c r="C89" s="38">
        <v>37.325000000000003</v>
      </c>
      <c r="D89" s="23">
        <v>0.79586710000000005</v>
      </c>
      <c r="E89" s="26">
        <v>0.79586710000000005</v>
      </c>
      <c r="F89" s="23">
        <v>0.95224077480200908</v>
      </c>
      <c r="G89" s="26">
        <v>0.28305584010705942</v>
      </c>
      <c r="H89" s="25"/>
    </row>
    <row r="90" spans="1:8" x14ac:dyDescent="0.25">
      <c r="A90" s="30" t="s">
        <v>136</v>
      </c>
      <c r="B90" s="31"/>
      <c r="C90" s="25">
        <v>37.57</v>
      </c>
      <c r="D90">
        <v>0.68539140248985431</v>
      </c>
      <c r="E90" s="25">
        <v>0.54132825524875761</v>
      </c>
      <c r="G90" s="25"/>
      <c r="H90" s="25"/>
    </row>
    <row r="91" spans="1:8" x14ac:dyDescent="0.25">
      <c r="A91" s="30" t="s">
        <v>136</v>
      </c>
      <c r="B91" s="31"/>
      <c r="C91" s="25">
        <v>38.1</v>
      </c>
      <c r="D91">
        <v>0.47467106047526103</v>
      </c>
      <c r="E91" s="25">
        <v>0.37489944585051049</v>
      </c>
      <c r="G91" s="25"/>
      <c r="H91" s="25"/>
    </row>
    <row r="92" spans="1:8" x14ac:dyDescent="0.25">
      <c r="A92" s="30" t="s">
        <v>136</v>
      </c>
      <c r="B92" s="31"/>
      <c r="C92" s="38">
        <v>37.835000000000001</v>
      </c>
      <c r="D92" s="23">
        <v>0.5703818579342137</v>
      </c>
      <c r="E92" s="25">
        <v>0.45049268908161305</v>
      </c>
      <c r="F92" s="23">
        <v>0.45557346339362703</v>
      </c>
      <c r="G92" s="26">
        <v>8.3330653724405152E-2</v>
      </c>
      <c r="H92" s="26">
        <v>2.0426559330319255E-2</v>
      </c>
    </row>
    <row r="93" spans="1:8" x14ac:dyDescent="0.25">
      <c r="A93" s="27" t="s">
        <v>79</v>
      </c>
      <c r="B93" s="28"/>
      <c r="C93" s="24">
        <v>26.06</v>
      </c>
      <c r="D93" s="22">
        <v>1.1769067372187698</v>
      </c>
      <c r="E93" s="24">
        <v>1.1769067372187698</v>
      </c>
      <c r="F93" s="22"/>
      <c r="G93" s="24"/>
      <c r="H93" s="24"/>
    </row>
    <row r="94" spans="1:8" x14ac:dyDescent="0.25">
      <c r="A94" s="30" t="s">
        <v>79</v>
      </c>
      <c r="B94" s="31"/>
      <c r="C94" s="25">
        <v>26.53</v>
      </c>
      <c r="D94">
        <v>0.84968499913865059</v>
      </c>
      <c r="E94" s="25">
        <v>0.84968499913865059</v>
      </c>
      <c r="G94" s="25"/>
      <c r="H94" s="25"/>
    </row>
    <row r="95" spans="1:8" x14ac:dyDescent="0.25">
      <c r="A95" s="32" t="s">
        <v>79</v>
      </c>
      <c r="B95" s="33"/>
      <c r="C95" s="38">
        <v>26.295000000000002</v>
      </c>
      <c r="D95" s="23">
        <v>1.000138</v>
      </c>
      <c r="E95" s="26">
        <v>1.000138</v>
      </c>
      <c r="F95" s="23">
        <v>1.0088639121191401</v>
      </c>
      <c r="G95" s="26">
        <v>0.16379085191666104</v>
      </c>
      <c r="H95" s="25"/>
    </row>
    <row r="96" spans="1:8" x14ac:dyDescent="0.25">
      <c r="A96" s="30" t="s">
        <v>80</v>
      </c>
      <c r="B96" s="31"/>
      <c r="C96" s="25">
        <v>31.5</v>
      </c>
      <c r="D96">
        <v>2.7110583973502158E-2</v>
      </c>
      <c r="E96" s="25">
        <v>1.1783111949540228</v>
      </c>
      <c r="G96" s="25"/>
      <c r="H96" s="25"/>
    </row>
    <row r="97" spans="1:14" x14ac:dyDescent="0.25">
      <c r="A97" s="30" t="s">
        <v>80</v>
      </c>
      <c r="B97" s="31"/>
      <c r="C97" s="25">
        <v>32.020000000000003</v>
      </c>
      <c r="D97">
        <v>1.8906157644051434E-2</v>
      </c>
      <c r="E97" s="25">
        <v>0.82172103807594898</v>
      </c>
      <c r="G97" s="25"/>
      <c r="H97" s="25"/>
    </row>
    <row r="98" spans="1:14" x14ac:dyDescent="0.25">
      <c r="A98" s="32" t="s">
        <v>80</v>
      </c>
      <c r="B98" s="33"/>
      <c r="C98" s="38">
        <v>31.759999999999998</v>
      </c>
      <c r="D98" s="23">
        <v>2.2639721164920041E-2</v>
      </c>
      <c r="E98" s="26">
        <v>0.98399344423331192</v>
      </c>
      <c r="F98" s="23">
        <v>0.99467522575442791</v>
      </c>
      <c r="G98" s="26">
        <v>0.17853489949567591</v>
      </c>
      <c r="H98" s="26">
        <v>0.92408847884479717</v>
      </c>
    </row>
    <row r="99" spans="1:14" x14ac:dyDescent="0.25">
      <c r="A99" t="s">
        <v>162</v>
      </c>
    </row>
    <row r="101" spans="1:14" x14ac:dyDescent="0.25">
      <c r="A101" t="s">
        <v>127</v>
      </c>
    </row>
    <row r="102" spans="1:14" x14ac:dyDescent="0.25">
      <c r="A102" s="27" t="s">
        <v>57</v>
      </c>
      <c r="B102" s="28"/>
      <c r="C102" s="34" t="s">
        <v>58</v>
      </c>
      <c r="D102" s="34" t="s">
        <v>59</v>
      </c>
      <c r="E102" s="34" t="s">
        <v>60</v>
      </c>
      <c r="F102" s="34" t="s">
        <v>92</v>
      </c>
      <c r="G102" s="34" t="s">
        <v>11</v>
      </c>
      <c r="H102" s="44" t="s">
        <v>45</v>
      </c>
    </row>
    <row r="103" spans="1:14" x14ac:dyDescent="0.25">
      <c r="A103" s="27" t="s">
        <v>161</v>
      </c>
      <c r="B103" s="28"/>
      <c r="C103" s="24">
        <v>31.38</v>
      </c>
      <c r="D103">
        <v>0.30885465928173295</v>
      </c>
      <c r="E103" s="24">
        <v>0.24369171422145791</v>
      </c>
      <c r="F103" s="22"/>
      <c r="G103" s="24"/>
      <c r="H103" s="25"/>
    </row>
    <row r="104" spans="1:14" x14ac:dyDescent="0.25">
      <c r="A104" s="30" t="s">
        <v>161</v>
      </c>
      <c r="B104" s="31"/>
      <c r="C104" s="25">
        <v>31.52</v>
      </c>
      <c r="D104">
        <v>0.28029151950712777</v>
      </c>
      <c r="E104" s="25">
        <v>0.22115489864804841</v>
      </c>
      <c r="G104" s="25"/>
      <c r="H104" s="25"/>
      <c r="K104" t="s">
        <v>31</v>
      </c>
      <c r="M104" t="s">
        <v>32</v>
      </c>
    </row>
    <row r="105" spans="1:14" x14ac:dyDescent="0.25">
      <c r="A105" s="32" t="s">
        <v>161</v>
      </c>
      <c r="B105" s="33"/>
      <c r="C105" s="38">
        <v>31.45</v>
      </c>
      <c r="D105" s="23">
        <v>0.29422668430469245</v>
      </c>
      <c r="E105" s="26">
        <v>0.23214998677582496</v>
      </c>
      <c r="F105" s="23">
        <v>0.23233219988177711</v>
      </c>
      <c r="G105" s="26">
        <v>1.1269512645161449E-2</v>
      </c>
      <c r="H105" s="25"/>
      <c r="J105" t="s">
        <v>153</v>
      </c>
      <c r="K105">
        <v>1.0014458851607813</v>
      </c>
      <c r="L105">
        <v>6.5908476192659618E-2</v>
      </c>
      <c r="M105">
        <v>0.23233219988177711</v>
      </c>
      <c r="N105">
        <v>1.1269512645161449E-2</v>
      </c>
    </row>
    <row r="106" spans="1:14" x14ac:dyDescent="0.25">
      <c r="A106" s="30" t="s">
        <v>160</v>
      </c>
      <c r="B106" s="31"/>
      <c r="C106" s="25">
        <v>29.78</v>
      </c>
      <c r="D106" s="22">
        <v>0.936272247434493</v>
      </c>
      <c r="E106" s="24">
        <v>0.936272247434493</v>
      </c>
      <c r="F106" s="22"/>
      <c r="G106" s="24"/>
      <c r="H106" s="25"/>
      <c r="J106" t="s">
        <v>154</v>
      </c>
      <c r="K106">
        <v>0.9769208246985791</v>
      </c>
      <c r="L106">
        <v>0.16088388661503455</v>
      </c>
      <c r="M106">
        <v>0.25270910657747747</v>
      </c>
      <c r="N106">
        <v>4.795283619524944E-2</v>
      </c>
    </row>
    <row r="107" spans="1:14" x14ac:dyDescent="0.25">
      <c r="A107" s="30" t="s">
        <v>160</v>
      </c>
      <c r="B107" s="31"/>
      <c r="C107" s="25">
        <v>29.59</v>
      </c>
      <c r="D107">
        <v>1.0680654080478533</v>
      </c>
      <c r="E107" s="25">
        <v>1.0680654080478533</v>
      </c>
      <c r="G107" s="25"/>
      <c r="H107" s="25"/>
      <c r="J107" t="s">
        <v>155</v>
      </c>
      <c r="K107">
        <v>1.0734203005542058</v>
      </c>
      <c r="L107">
        <v>0.2169390256665297</v>
      </c>
      <c r="M107">
        <v>0.23471155289667148</v>
      </c>
      <c r="N107">
        <v>9.7592692437028471E-3</v>
      </c>
    </row>
    <row r="108" spans="1:14" x14ac:dyDescent="0.25">
      <c r="A108" s="30" t="s">
        <v>160</v>
      </c>
      <c r="B108" s="31"/>
      <c r="C108" s="38">
        <v>29.685000000000006</v>
      </c>
      <c r="D108" s="23">
        <v>1.0156320000000001</v>
      </c>
      <c r="E108" s="26">
        <v>1.0156320000000001</v>
      </c>
      <c r="F108" s="23">
        <v>1.0014458851607813</v>
      </c>
      <c r="G108" s="26">
        <v>6.5908476192659618E-2</v>
      </c>
      <c r="H108" s="26">
        <v>5.4094966148827128E-5</v>
      </c>
      <c r="J108" t="s">
        <v>156</v>
      </c>
      <c r="K108">
        <v>1.0000160151645849</v>
      </c>
      <c r="L108">
        <v>6.9315411858557469E-3</v>
      </c>
      <c r="M108">
        <v>0.40571111844305818</v>
      </c>
      <c r="N108">
        <v>0.12367728431052395</v>
      </c>
    </row>
    <row r="109" spans="1:14" x14ac:dyDescent="0.25">
      <c r="A109" s="27" t="s">
        <v>142</v>
      </c>
      <c r="B109" s="28"/>
      <c r="C109" s="25">
        <v>20.77</v>
      </c>
      <c r="D109" s="22">
        <v>0.38288949927359622</v>
      </c>
      <c r="E109" s="24">
        <v>0.30210649453167215</v>
      </c>
      <c r="F109" s="22"/>
      <c r="G109" s="24"/>
      <c r="H109" s="24"/>
      <c r="J109" t="s">
        <v>157</v>
      </c>
      <c r="K109">
        <v>1.1278562636151801</v>
      </c>
      <c r="L109">
        <v>0.77511606784336995</v>
      </c>
      <c r="M109">
        <v>1.2201041557723722E-2</v>
      </c>
      <c r="N109">
        <v>7.0744840909250754E-3</v>
      </c>
    </row>
    <row r="110" spans="1:14" x14ac:dyDescent="0.25">
      <c r="A110" s="30" t="s">
        <v>142</v>
      </c>
      <c r="B110" s="31"/>
      <c r="C110" s="25">
        <v>21.32</v>
      </c>
      <c r="D110">
        <v>0.26152123494813256</v>
      </c>
      <c r="E110" s="25">
        <v>0.20634481667860785</v>
      </c>
      <c r="G110" s="25"/>
      <c r="H110" s="25"/>
      <c r="J110" t="s">
        <v>158</v>
      </c>
      <c r="K110">
        <v>1.0002562580227856</v>
      </c>
      <c r="L110">
        <v>2.7730327673412866E-2</v>
      </c>
      <c r="M110">
        <v>0.11903127334189241</v>
      </c>
      <c r="N110">
        <v>1.3591312541194405E-2</v>
      </c>
    </row>
    <row r="111" spans="1:14" x14ac:dyDescent="0.25">
      <c r="A111" s="32" t="s">
        <v>142</v>
      </c>
      <c r="B111" s="33"/>
      <c r="C111" s="38">
        <v>21.045000000000009</v>
      </c>
      <c r="D111" s="23">
        <v>0.31643914849256838</v>
      </c>
      <c r="E111" s="26">
        <v>0.24967600852215246</v>
      </c>
      <c r="F111" s="23">
        <v>0.25270910657747747</v>
      </c>
      <c r="G111" s="26">
        <v>4.795283619524944E-2</v>
      </c>
      <c r="H111" s="25"/>
      <c r="J111" t="s">
        <v>159</v>
      </c>
      <c r="K111">
        <v>1.0004004175887411</v>
      </c>
      <c r="L111">
        <v>3.4666031918278689E-2</v>
      </c>
      <c r="M111">
        <v>0.54838974807670038</v>
      </c>
      <c r="N111">
        <v>9.5025135175247546E-3</v>
      </c>
    </row>
    <row r="112" spans="1:14" x14ac:dyDescent="0.25">
      <c r="A112" s="30" t="s">
        <v>141</v>
      </c>
      <c r="B112" s="31"/>
      <c r="C112" s="25">
        <v>19.600000000000001</v>
      </c>
      <c r="D112" s="22">
        <v>0.86154615971201731</v>
      </c>
      <c r="E112" s="24">
        <v>0.86154615971201731</v>
      </c>
      <c r="F112" s="22"/>
      <c r="G112" s="24"/>
      <c r="H112" s="25"/>
    </row>
    <row r="113" spans="1:8" x14ac:dyDescent="0.25">
      <c r="A113" s="30" t="s">
        <v>141</v>
      </c>
      <c r="B113" s="31"/>
      <c r="C113" s="25">
        <v>19.170000000000002</v>
      </c>
      <c r="D113">
        <v>1.1607039143837199</v>
      </c>
      <c r="E113" s="25">
        <v>1.1607039143837199</v>
      </c>
      <c r="G113" s="25"/>
      <c r="H113" s="25"/>
    </row>
    <row r="114" spans="1:8" x14ac:dyDescent="0.25">
      <c r="A114" s="30" t="s">
        <v>141</v>
      </c>
      <c r="B114" s="31"/>
      <c r="C114" s="38">
        <v>19.484999999999999</v>
      </c>
      <c r="D114" s="23">
        <v>0.9085124</v>
      </c>
      <c r="E114" s="26">
        <v>0.9085124</v>
      </c>
      <c r="F114" s="23">
        <v>0.9769208246985791</v>
      </c>
      <c r="G114" s="26">
        <v>0.16088388661503455</v>
      </c>
      <c r="H114" s="26">
        <v>1.8102904730290916E-3</v>
      </c>
    </row>
    <row r="115" spans="1:8" x14ac:dyDescent="0.25">
      <c r="A115" s="27" t="s">
        <v>144</v>
      </c>
      <c r="B115" s="28"/>
      <c r="C115" s="25">
        <v>30.82</v>
      </c>
      <c r="D115" s="22">
        <v>0.28519092896710546</v>
      </c>
      <c r="E115" s="24">
        <v>0.22502061818341632</v>
      </c>
      <c r="F115" s="22"/>
      <c r="G115" s="24"/>
      <c r="H115" s="24"/>
    </row>
    <row r="116" spans="1:8" x14ac:dyDescent="0.25">
      <c r="A116" s="30" t="s">
        <v>144</v>
      </c>
      <c r="B116" s="31"/>
      <c r="C116" s="25">
        <v>30.7</v>
      </c>
      <c r="D116">
        <v>0.30992692498474644</v>
      </c>
      <c r="E116" s="25">
        <v>0.24453775056708377</v>
      </c>
      <c r="G116" s="25"/>
      <c r="H116" s="25"/>
    </row>
    <row r="117" spans="1:8" x14ac:dyDescent="0.25">
      <c r="A117" s="32" t="s">
        <v>144</v>
      </c>
      <c r="B117" s="33"/>
      <c r="C117" s="38">
        <v>30.76</v>
      </c>
      <c r="D117" s="23">
        <v>0.29730177875067959</v>
      </c>
      <c r="E117" s="26">
        <v>0.23457628993951438</v>
      </c>
      <c r="F117" s="23">
        <v>0.23471155289667148</v>
      </c>
      <c r="G117" s="26">
        <v>9.7592692437028471E-3</v>
      </c>
      <c r="H117" s="25"/>
    </row>
    <row r="118" spans="1:8" x14ac:dyDescent="0.25">
      <c r="A118" s="30" t="s">
        <v>143</v>
      </c>
      <c r="B118" s="31"/>
      <c r="C118" s="25">
        <v>29.29</v>
      </c>
      <c r="D118" s="22">
        <v>0.82359101726757244</v>
      </c>
      <c r="E118" s="24">
        <v>0.82359101726757244</v>
      </c>
      <c r="F118" s="22"/>
      <c r="G118" s="24"/>
      <c r="H118" s="25"/>
    </row>
    <row r="119" spans="1:8" x14ac:dyDescent="0.25">
      <c r="A119" s="30" t="s">
        <v>143</v>
      </c>
      <c r="B119" s="31"/>
      <c r="C119" s="25">
        <v>28.73</v>
      </c>
      <c r="D119">
        <v>1.2141948843950447</v>
      </c>
      <c r="E119" s="25">
        <v>1.2141948843950447</v>
      </c>
      <c r="G119" s="25"/>
      <c r="H119" s="25"/>
    </row>
    <row r="120" spans="1:8" x14ac:dyDescent="0.25">
      <c r="A120" s="30" t="s">
        <v>143</v>
      </c>
      <c r="B120" s="31"/>
      <c r="C120" s="38">
        <v>28.661000000000001</v>
      </c>
      <c r="D120" s="23">
        <v>1.1824749999999999</v>
      </c>
      <c r="E120" s="26">
        <v>1.1824749999999999</v>
      </c>
      <c r="F120" s="23">
        <v>1.0734203005542058</v>
      </c>
      <c r="G120" s="26">
        <v>0.2169390256665297</v>
      </c>
      <c r="H120" s="26">
        <v>3.2074289721484707E-3</v>
      </c>
    </row>
    <row r="121" spans="1:8" x14ac:dyDescent="0.25">
      <c r="A121" s="27" t="s">
        <v>146</v>
      </c>
      <c r="B121" s="28"/>
      <c r="C121" s="25">
        <v>39.22</v>
      </c>
      <c r="D121" s="22">
        <v>0.36602142398640564</v>
      </c>
      <c r="E121" s="24">
        <v>0.28879728886221051</v>
      </c>
      <c r="F121" s="22"/>
      <c r="G121" s="24"/>
      <c r="H121" s="24"/>
    </row>
    <row r="122" spans="1:8" x14ac:dyDescent="0.25">
      <c r="A122" s="30" t="s">
        <v>146</v>
      </c>
      <c r="B122" s="31"/>
      <c r="C122" s="25">
        <v>38.33</v>
      </c>
      <c r="D122">
        <v>0.67830216372383489</v>
      </c>
      <c r="E122" s="25">
        <v>0.5351922403320587</v>
      </c>
      <c r="G122" s="25"/>
      <c r="H122" s="25"/>
    </row>
    <row r="123" spans="1:8" x14ac:dyDescent="0.25">
      <c r="A123" s="32" t="s">
        <v>146</v>
      </c>
      <c r="B123" s="33"/>
      <c r="C123" s="38">
        <v>38.774999999999991</v>
      </c>
      <c r="D123" s="23">
        <v>0.49827013141393556</v>
      </c>
      <c r="E123" s="26">
        <v>0.39314382613490539</v>
      </c>
      <c r="F123" s="23">
        <v>0.40571111844305818</v>
      </c>
      <c r="G123" s="26">
        <v>0.12367728431052395</v>
      </c>
      <c r="H123" s="25"/>
    </row>
    <row r="124" spans="1:8" x14ac:dyDescent="0.25">
      <c r="A124" s="30" t="s">
        <v>145</v>
      </c>
      <c r="B124" s="31"/>
      <c r="C124" s="25">
        <v>37.78</v>
      </c>
      <c r="D124" s="22">
        <v>0.99309249543703237</v>
      </c>
      <c r="E124" s="24">
        <v>0.99309249543703237</v>
      </c>
      <c r="F124" s="22"/>
      <c r="G124" s="24"/>
      <c r="H124" s="25"/>
    </row>
    <row r="125" spans="1:8" x14ac:dyDescent="0.25">
      <c r="A125" s="30" t="s">
        <v>145</v>
      </c>
      <c r="B125" s="31"/>
      <c r="C125" s="25">
        <v>37.76</v>
      </c>
      <c r="D125">
        <v>1.0069555500567173</v>
      </c>
      <c r="E125" s="25">
        <v>1.0069555500567173</v>
      </c>
      <c r="G125" s="25"/>
      <c r="H125" s="25"/>
    </row>
    <row r="126" spans="1:8" x14ac:dyDescent="0.25">
      <c r="A126" s="30" t="s">
        <v>145</v>
      </c>
      <c r="B126" s="31"/>
      <c r="C126" s="38">
        <v>37.769999999999989</v>
      </c>
      <c r="D126" s="23">
        <v>0.99925410000000003</v>
      </c>
      <c r="E126" s="26">
        <v>1.0000000000000049</v>
      </c>
      <c r="F126" s="23">
        <v>1.0000160151645849</v>
      </c>
      <c r="G126" s="26">
        <v>6.9315411858557469E-3</v>
      </c>
      <c r="H126" s="26">
        <v>5.8346349167339318E-3</v>
      </c>
    </row>
    <row r="127" spans="1:8" x14ac:dyDescent="0.25">
      <c r="A127" s="27" t="s">
        <v>148</v>
      </c>
      <c r="B127" s="28"/>
      <c r="C127" s="25">
        <v>49.23</v>
      </c>
      <c r="D127" s="22">
        <v>2.2250784306204328E-2</v>
      </c>
      <c r="E127" s="24">
        <v>1.755625698819285E-2</v>
      </c>
      <c r="F127" s="22"/>
      <c r="G127" s="24"/>
      <c r="H127" s="24"/>
    </row>
    <row r="128" spans="1:8" x14ac:dyDescent="0.25">
      <c r="A128" s="30" t="s">
        <v>148</v>
      </c>
      <c r="B128" s="31"/>
      <c r="C128" s="25">
        <v>49.47</v>
      </c>
      <c r="D128">
        <v>1.8840747307668174E-2</v>
      </c>
      <c r="E128" s="25">
        <v>1.4865678307384132E-2</v>
      </c>
      <c r="G128" s="25"/>
      <c r="H128" s="25"/>
    </row>
    <row r="129" spans="1:8" x14ac:dyDescent="0.25">
      <c r="A129" s="32" t="s">
        <v>148</v>
      </c>
      <c r="B129" s="33"/>
      <c r="C129" s="38">
        <v>51.300000000000011</v>
      </c>
      <c r="D129" s="23">
        <v>5.2992356540924324E-3</v>
      </c>
      <c r="E129" s="26">
        <v>4.1811893775941869E-3</v>
      </c>
      <c r="F129" s="23">
        <v>1.2201041557723722E-2</v>
      </c>
      <c r="G129" s="26">
        <v>7.0744840909250754E-3</v>
      </c>
      <c r="H129" s="25"/>
    </row>
    <row r="130" spans="1:8" x14ac:dyDescent="0.25">
      <c r="A130" s="30" t="s">
        <v>147</v>
      </c>
      <c r="B130" s="31"/>
      <c r="C130" s="25">
        <v>42.74</v>
      </c>
      <c r="D130" s="22">
        <v>2</v>
      </c>
      <c r="E130" s="24">
        <v>2</v>
      </c>
      <c r="F130" s="22"/>
      <c r="G130" s="24"/>
      <c r="H130" s="25"/>
    </row>
    <row r="131" spans="1:8" x14ac:dyDescent="0.25">
      <c r="A131" s="30" t="s">
        <v>147</v>
      </c>
      <c r="B131" s="31"/>
      <c r="C131" s="25">
        <v>43.99</v>
      </c>
      <c r="D131">
        <v>0.86593632892484795</v>
      </c>
      <c r="E131" s="25">
        <v>0.86593632892484795</v>
      </c>
      <c r="G131" s="25"/>
      <c r="H131" s="25"/>
    </row>
    <row r="132" spans="1:8" x14ac:dyDescent="0.25">
      <c r="A132" s="30" t="s">
        <v>147</v>
      </c>
      <c r="B132" s="31"/>
      <c r="C132" s="38">
        <v>44.689999999999991</v>
      </c>
      <c r="D132" s="23">
        <v>0.51763246192069279</v>
      </c>
      <c r="E132" s="26">
        <v>0.51763246192069279</v>
      </c>
      <c r="F132" s="23">
        <v>1.1278562636151801</v>
      </c>
      <c r="G132" s="26">
        <v>0.77511606784336995</v>
      </c>
      <c r="H132" s="26">
        <v>5.9409870488202718E-2</v>
      </c>
    </row>
    <row r="133" spans="1:8" x14ac:dyDescent="0.25">
      <c r="A133" s="27" t="s">
        <v>150</v>
      </c>
      <c r="B133" s="28"/>
      <c r="C133" s="25">
        <v>39.369999999999997</v>
      </c>
      <c r="D133" s="22">
        <v>0.16840419710821128</v>
      </c>
      <c r="E133" s="24">
        <v>0.13287384937247571</v>
      </c>
      <c r="F133" s="22"/>
      <c r="G133" s="24"/>
      <c r="H133" s="24"/>
    </row>
    <row r="134" spans="1:8" x14ac:dyDescent="0.25">
      <c r="A134" s="30" t="s">
        <v>150</v>
      </c>
      <c r="B134" s="31"/>
      <c r="C134" s="25">
        <v>39.700000000000003</v>
      </c>
      <c r="D134">
        <v>0.13397168281703614</v>
      </c>
      <c r="E134" s="25">
        <v>0.10570599491275964</v>
      </c>
      <c r="G134" s="25"/>
      <c r="H134" s="25"/>
    </row>
    <row r="135" spans="1:8" x14ac:dyDescent="0.25">
      <c r="A135" s="32" t="s">
        <v>150</v>
      </c>
      <c r="B135" s="33"/>
      <c r="C135" s="38">
        <v>39.534999999999982</v>
      </c>
      <c r="D135" s="23">
        <v>0.1502045061908579</v>
      </c>
      <c r="E135" s="26">
        <v>0.1185139757404419</v>
      </c>
      <c r="F135" s="23">
        <v>0.11903127334189241</v>
      </c>
      <c r="G135" s="26">
        <v>1.3591312541194405E-2</v>
      </c>
      <c r="H135" s="25"/>
    </row>
    <row r="136" spans="1:8" x14ac:dyDescent="0.25">
      <c r="A136" s="30" t="s">
        <v>149</v>
      </c>
      <c r="B136" s="31"/>
      <c r="C136" s="25">
        <v>36.76</v>
      </c>
      <c r="D136" s="22">
        <v>1.0281138266560659</v>
      </c>
      <c r="E136" s="24">
        <v>1.0281138266560659</v>
      </c>
      <c r="F136" s="22"/>
      <c r="G136" s="24"/>
      <c r="H136" s="25"/>
    </row>
    <row r="137" spans="1:8" x14ac:dyDescent="0.25">
      <c r="A137" s="30" t="s">
        <v>149</v>
      </c>
      <c r="B137" s="31"/>
      <c r="C137" s="25">
        <v>36.840000000000003</v>
      </c>
      <c r="D137">
        <v>0.97265494741228131</v>
      </c>
      <c r="E137" s="25">
        <v>0.97265494741228131</v>
      </c>
      <c r="G137" s="25"/>
      <c r="H137" s="25"/>
    </row>
    <row r="138" spans="1:8" x14ac:dyDescent="0.25">
      <c r="A138" s="30" t="s">
        <v>149</v>
      </c>
      <c r="B138" s="31"/>
      <c r="C138" s="38">
        <v>36.799999999999983</v>
      </c>
      <c r="D138" s="23">
        <v>1.02583</v>
      </c>
      <c r="E138" s="26">
        <v>1.02583</v>
      </c>
      <c r="F138" s="23">
        <v>1.0002562580227856</v>
      </c>
      <c r="G138" s="26">
        <v>2.7730327673412866E-2</v>
      </c>
      <c r="H138" s="26">
        <v>1.44979840582868E-6</v>
      </c>
    </row>
    <row r="139" spans="1:8" x14ac:dyDescent="0.25">
      <c r="A139" s="27" t="s">
        <v>152</v>
      </c>
      <c r="B139" s="28"/>
      <c r="C139" s="25">
        <v>22.49</v>
      </c>
      <c r="D139" s="22">
        <v>0.68302012837719739</v>
      </c>
      <c r="E139" s="24">
        <v>0.53891479674965637</v>
      </c>
      <c r="F139" s="22"/>
      <c r="G139" s="24"/>
      <c r="H139" s="24"/>
    </row>
    <row r="140" spans="1:8" x14ac:dyDescent="0.25">
      <c r="A140" s="30" t="s">
        <v>152</v>
      </c>
      <c r="B140" s="31"/>
      <c r="C140" s="25">
        <v>22.44</v>
      </c>
      <c r="D140">
        <v>0.7071067811865458</v>
      </c>
      <c r="E140" s="25">
        <v>0.55791958601402336</v>
      </c>
      <c r="G140" s="25"/>
      <c r="H140" s="25"/>
    </row>
    <row r="141" spans="1:8" x14ac:dyDescent="0.25">
      <c r="A141" s="32" t="s">
        <v>152</v>
      </c>
      <c r="B141" s="33"/>
      <c r="C141" s="38">
        <v>22.465</v>
      </c>
      <c r="D141" s="23">
        <v>0.69495910992116738</v>
      </c>
      <c r="E141" s="26">
        <v>0.54833486146642152</v>
      </c>
      <c r="F141" s="23">
        <v>0.54838974807670038</v>
      </c>
      <c r="G141" s="26">
        <v>9.5025135175247546E-3</v>
      </c>
      <c r="H141" s="25"/>
    </row>
    <row r="142" spans="1:8" x14ac:dyDescent="0.25">
      <c r="A142" s="30" t="s">
        <v>151</v>
      </c>
      <c r="B142" s="31"/>
      <c r="C142" s="25">
        <v>21.89</v>
      </c>
      <c r="D142" s="22">
        <v>1.0352649238413754</v>
      </c>
      <c r="E142" s="24">
        <v>1.0352649238413754</v>
      </c>
      <c r="F142" s="22"/>
      <c r="G142" s="24"/>
      <c r="H142" s="25"/>
    </row>
    <row r="143" spans="1:8" x14ac:dyDescent="0.25">
      <c r="A143" s="30" t="s">
        <v>151</v>
      </c>
      <c r="B143" s="31"/>
      <c r="C143" s="25">
        <v>21.99</v>
      </c>
      <c r="D143">
        <v>0.96593632892484504</v>
      </c>
      <c r="E143" s="25">
        <v>0.96593632892484504</v>
      </c>
      <c r="G143" s="25"/>
      <c r="H143" s="25"/>
    </row>
    <row r="144" spans="1:8" x14ac:dyDescent="0.25">
      <c r="A144" s="30" t="s">
        <v>151</v>
      </c>
      <c r="B144" s="31"/>
      <c r="C144" s="38">
        <v>21.939999999999994</v>
      </c>
      <c r="D144" s="23">
        <v>1.0100355999999999</v>
      </c>
      <c r="E144" s="26">
        <v>1.0100355999999999</v>
      </c>
      <c r="F144" s="23">
        <v>1.0004004175887411</v>
      </c>
      <c r="G144" s="26">
        <v>3.4666031918278689E-2</v>
      </c>
      <c r="H144" s="26">
        <v>1.3470222666455464E-4</v>
      </c>
    </row>
    <row r="145" spans="1:8" x14ac:dyDescent="0.25">
      <c r="A145" s="27" t="s">
        <v>112</v>
      </c>
      <c r="B145" s="28"/>
      <c r="C145" s="25">
        <v>30.05</v>
      </c>
      <c r="D145" s="22">
        <v>1.34723357686569</v>
      </c>
      <c r="E145" s="24">
        <v>1.0629907949798054</v>
      </c>
      <c r="F145" s="22"/>
      <c r="G145" s="24"/>
      <c r="H145" s="24"/>
    </row>
    <row r="146" spans="1:8" x14ac:dyDescent="0.25">
      <c r="A146" s="30" t="s">
        <v>112</v>
      </c>
      <c r="B146" s="31"/>
      <c r="C146" s="25">
        <v>30.23</v>
      </c>
      <c r="D146">
        <v>1.189207115002721</v>
      </c>
      <c r="E146" s="25">
        <v>0.93830515975805961</v>
      </c>
      <c r="G146" s="25"/>
      <c r="H146" s="25"/>
    </row>
    <row r="147" spans="1:8" x14ac:dyDescent="0.25">
      <c r="A147" s="32" t="s">
        <v>112</v>
      </c>
      <c r="B147" s="33"/>
      <c r="C147" s="38">
        <v>30.140000000000004</v>
      </c>
      <c r="D147" s="23">
        <v>1.2657565939702766</v>
      </c>
      <c r="E147" s="26">
        <v>0.9987040340886123</v>
      </c>
      <c r="F147" s="23">
        <v>0.99999999627549252</v>
      </c>
      <c r="G147" s="26">
        <v>6.2352919307398363E-2</v>
      </c>
      <c r="H147" s="25"/>
    </row>
    <row r="148" spans="1:8" x14ac:dyDescent="0.25">
      <c r="A148" s="30" t="s">
        <v>111</v>
      </c>
      <c r="B148" s="31"/>
      <c r="C148" s="25">
        <v>30.43</v>
      </c>
      <c r="D148" s="22">
        <v>1.035264923841378</v>
      </c>
      <c r="E148" s="25">
        <v>1.035264923841378</v>
      </c>
      <c r="F148" s="22"/>
      <c r="G148" s="24"/>
      <c r="H148" s="25"/>
    </row>
    <row r="149" spans="1:8" x14ac:dyDescent="0.25">
      <c r="A149" s="30" t="s">
        <v>111</v>
      </c>
      <c r="B149" s="31"/>
      <c r="C149" s="25">
        <v>30.53</v>
      </c>
      <c r="D149">
        <v>0.96593632892484504</v>
      </c>
      <c r="E149" s="25">
        <v>0.96593632892484504</v>
      </c>
      <c r="G149" s="25"/>
      <c r="H149" s="25"/>
    </row>
    <row r="150" spans="1:8" x14ac:dyDescent="0.25">
      <c r="A150" s="32" t="s">
        <v>111</v>
      </c>
      <c r="B150" s="33"/>
      <c r="C150" s="38">
        <v>30.479999999999997</v>
      </c>
      <c r="D150" s="23">
        <v>1.0000000000000024</v>
      </c>
      <c r="E150" s="26">
        <v>1.0000000000000024</v>
      </c>
      <c r="F150" s="23">
        <v>1.000400417588742</v>
      </c>
      <c r="G150" s="26">
        <v>3.4666031918280028E-2</v>
      </c>
      <c r="H150" s="26">
        <v>5.8502500893409092E-3</v>
      </c>
    </row>
    <row r="151" spans="1:8" x14ac:dyDescent="0.25">
      <c r="A151" t="s">
        <v>163</v>
      </c>
    </row>
  </sheetData>
  <mergeCells count="18">
    <mergeCell ref="I35:K35"/>
    <mergeCell ref="G2:H2"/>
    <mergeCell ref="A4:A7"/>
    <mergeCell ref="A8:B8"/>
    <mergeCell ref="A9:B9"/>
    <mergeCell ref="A10:A13"/>
    <mergeCell ref="A14:B14"/>
    <mergeCell ref="A44:A50"/>
    <mergeCell ref="A2:A3"/>
    <mergeCell ref="B2:B3"/>
    <mergeCell ref="C2:D2"/>
    <mergeCell ref="E2:F2"/>
    <mergeCell ref="A15:B15"/>
    <mergeCell ref="A35:A36"/>
    <mergeCell ref="B35:B36"/>
    <mergeCell ref="C35:E35"/>
    <mergeCell ref="F35:H35"/>
    <mergeCell ref="A37:A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Figure 1</vt:lpstr>
      <vt:lpstr>Figure 2</vt:lpstr>
      <vt:lpstr>Figure 3</vt:lpstr>
      <vt:lpstr>Figure 4</vt:lpstr>
      <vt:lpstr>Figure 5</vt:lpstr>
      <vt:lpstr>Figure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Yongqing Liu</dc:creator>
  <cp:lastModifiedBy>Liu,Yongqing</cp:lastModifiedBy>
  <dcterms:created xsi:type="dcterms:W3CDTF">2023-01-14T23:01:27Z</dcterms:created>
  <dcterms:modified xsi:type="dcterms:W3CDTF">2023-04-07T16:59:08Z</dcterms:modified>
</cp:coreProperties>
</file>