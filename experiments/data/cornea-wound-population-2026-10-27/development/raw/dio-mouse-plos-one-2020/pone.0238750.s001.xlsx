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ubreych\Desktop\HFD_Manuscript_StanfordComp\ResponseToReviewers\SubmittedAfterRevisions\"/>
    </mc:Choice>
  </mc:AlternateContent>
  <xr:revisionPtr revIDLastSave="0" documentId="8_{DADF8BD1-B527-4428-9C35-802549EC51ED}" xr6:coauthVersionLast="45" xr6:coauthVersionMax="45" xr10:uidLastSave="{00000000-0000-0000-0000-000000000000}"/>
  <bookViews>
    <workbookView xWindow="-120" yWindow="-120" windowWidth="29040" windowHeight="15840" tabRatio="794" xr2:uid="{00000000-000D-0000-FFFF-FFFF00000000}"/>
  </bookViews>
  <sheets>
    <sheet name="Table 1-10w systemic data" sheetId="28" r:id="rId1"/>
    <sheet name="Fig 1A &amp; Fig 2" sheetId="4" r:id="rId2"/>
    <sheet name="Fig 1B &amp; Fig 2" sheetId="3" r:id="rId3"/>
    <sheet name="Fig 1C &amp; Fig 2" sheetId="2" r:id="rId4"/>
    <sheet name="Fig 2" sheetId="5" r:id="rId5"/>
    <sheet name="Text-10w whole cornea analytes" sheetId="6" r:id="rId6"/>
    <sheet name="Fig 3A" sheetId="7" r:id="rId7"/>
    <sheet name="Fig 3B" sheetId="9" r:id="rId8"/>
    <sheet name="Table 2-10d systemic data" sheetId="27" r:id="rId9"/>
    <sheet name="Text-10d flow cytometry data" sheetId="29" r:id="rId10"/>
    <sheet name="Fig 4A" sheetId="10" r:id="rId11"/>
    <sheet name="Fig 4D &amp; E" sheetId="11" r:id="rId12"/>
    <sheet name="Fig 4F" sheetId="12" r:id="rId13"/>
    <sheet name="Fig 4G" sheetId="13" r:id="rId14"/>
    <sheet name="Fig 5A" sheetId="23" r:id="rId15"/>
    <sheet name="Fig 5B" sheetId="20" r:id="rId16"/>
    <sheet name="Fig 5C" sheetId="21" r:id="rId17"/>
    <sheet name="Fig 5D" sheetId="22" r:id="rId18"/>
    <sheet name="Fig 6A" sheetId="15" r:id="rId19"/>
    <sheet name="Fig 6C" sheetId="16" r:id="rId20"/>
    <sheet name="Fig 6D" sheetId="17" r:id="rId21"/>
    <sheet name="Fig 6E" sheetId="18" r:id="rId22"/>
    <sheet name="Fig 6G" sheetId="19" r:id="rId23"/>
    <sheet name="Fig 7" sheetId="25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23" i="28" l="1"/>
  <c r="H15" i="28"/>
  <c r="H13" i="28"/>
  <c r="D65" i="28"/>
  <c r="D64" i="28"/>
  <c r="D63" i="28"/>
  <c r="D42" i="28"/>
  <c r="D41" i="28"/>
  <c r="D40" i="28"/>
  <c r="K24" i="28"/>
  <c r="K25" i="28" s="1"/>
  <c r="J24" i="28"/>
  <c r="J25" i="28" s="1"/>
  <c r="I24" i="28"/>
  <c r="I25" i="28" s="1"/>
  <c r="H24" i="28"/>
  <c r="H25" i="28" s="1"/>
  <c r="K23" i="28"/>
  <c r="J23" i="28"/>
  <c r="I23" i="28"/>
  <c r="K14" i="28"/>
  <c r="K15" i="28" s="1"/>
  <c r="J14" i="28"/>
  <c r="J15" i="28" s="1"/>
  <c r="I14" i="28"/>
  <c r="I15" i="28" s="1"/>
  <c r="H14" i="28"/>
  <c r="K13" i="28"/>
  <c r="J13" i="28"/>
  <c r="I13" i="28"/>
  <c r="D24" i="28"/>
  <c r="D25" i="28" s="1"/>
  <c r="D23" i="28"/>
  <c r="D14" i="28"/>
  <c r="D15" i="28" s="1"/>
  <c r="D13" i="28"/>
  <c r="G29" i="29"/>
  <c r="G30" i="29" s="1"/>
  <c r="F29" i="29"/>
  <c r="F30" i="29" s="1"/>
  <c r="E29" i="29"/>
  <c r="E30" i="29" s="1"/>
  <c r="D29" i="29"/>
  <c r="D30" i="29" s="1"/>
  <c r="G28" i="29"/>
  <c r="F28" i="29"/>
  <c r="E28" i="29"/>
  <c r="D28" i="29"/>
  <c r="G15" i="29"/>
  <c r="G16" i="29" s="1"/>
  <c r="F15" i="29"/>
  <c r="F16" i="29" s="1"/>
  <c r="E15" i="29"/>
  <c r="E16" i="29" s="1"/>
  <c r="D15" i="29"/>
  <c r="D16" i="29" s="1"/>
  <c r="G14" i="29"/>
  <c r="F14" i="29"/>
  <c r="E14" i="29"/>
  <c r="D14" i="29"/>
  <c r="L5" i="18" l="1"/>
  <c r="X20" i="18"/>
  <c r="AD19" i="10"/>
  <c r="H26" i="2"/>
  <c r="H11" i="2" l="1"/>
  <c r="H10" i="2"/>
  <c r="H9" i="2"/>
  <c r="D17" i="2"/>
  <c r="D16" i="2"/>
  <c r="D15" i="2"/>
  <c r="D10" i="2"/>
  <c r="H30" i="3"/>
  <c r="H29" i="3"/>
  <c r="H28" i="3"/>
  <c r="L21" i="3"/>
  <c r="L20" i="3"/>
  <c r="L19" i="3"/>
  <c r="H20" i="3"/>
  <c r="H19" i="3"/>
  <c r="H18" i="3"/>
  <c r="L12" i="3"/>
  <c r="L11" i="3"/>
  <c r="L10" i="3"/>
  <c r="H11" i="3"/>
  <c r="H10" i="3"/>
  <c r="H9" i="3"/>
  <c r="D17" i="3"/>
  <c r="D15" i="3"/>
  <c r="D8" i="3"/>
  <c r="L35" i="4"/>
  <c r="L34" i="4"/>
  <c r="L33" i="4"/>
  <c r="L19" i="4"/>
  <c r="L18" i="4"/>
  <c r="L17" i="4"/>
  <c r="H40" i="4"/>
  <c r="H39" i="4"/>
  <c r="H38" i="4"/>
  <c r="H30" i="4"/>
  <c r="H29" i="4"/>
  <c r="H28" i="4"/>
  <c r="H13" i="4"/>
  <c r="H12" i="4"/>
  <c r="H11" i="4"/>
  <c r="D31" i="4"/>
  <c r="D30" i="4"/>
  <c r="D29" i="4"/>
  <c r="D17" i="4"/>
  <c r="D16" i="4"/>
  <c r="D15" i="4"/>
  <c r="T21" i="27"/>
  <c r="S21" i="27"/>
  <c r="T20" i="27"/>
  <c r="S20" i="27"/>
  <c r="T15" i="27"/>
  <c r="S15" i="27"/>
  <c r="T10" i="27"/>
  <c r="S10" i="27"/>
  <c r="T5" i="27"/>
  <c r="S5" i="27"/>
  <c r="Q5" i="27"/>
  <c r="Q15" i="27"/>
  <c r="P15" i="27"/>
  <c r="Q10" i="27"/>
  <c r="P10" i="27"/>
  <c r="Q7" i="27"/>
  <c r="P7" i="27"/>
  <c r="Q6" i="27"/>
  <c r="P6" i="27"/>
  <c r="P5" i="27"/>
  <c r="L14" i="6"/>
  <c r="L13" i="6"/>
  <c r="H14" i="6"/>
  <c r="H13" i="6"/>
  <c r="D13" i="6"/>
  <c r="S42" i="11"/>
  <c r="S54" i="11"/>
  <c r="S51" i="11"/>
  <c r="L42" i="6"/>
  <c r="L41" i="6"/>
  <c r="H42" i="6"/>
  <c r="H41" i="6"/>
  <c r="D42" i="6"/>
  <c r="D41" i="6"/>
  <c r="D66" i="9" l="1"/>
  <c r="D25" i="6"/>
  <c r="D14" i="6"/>
  <c r="L24" i="6"/>
  <c r="L25" i="6"/>
  <c r="X21" i="18" l="1"/>
  <c r="P58" i="17"/>
  <c r="H58" i="17"/>
  <c r="P47" i="17"/>
  <c r="H47" i="17"/>
  <c r="P36" i="17"/>
  <c r="H36" i="17"/>
  <c r="P25" i="17"/>
  <c r="H25" i="17"/>
  <c r="P14" i="17"/>
  <c r="H14" i="17"/>
  <c r="L24" i="16"/>
  <c r="L17" i="16"/>
  <c r="L10" i="16"/>
  <c r="F12" i="22"/>
  <c r="E12" i="22"/>
  <c r="D12" i="22"/>
  <c r="C12" i="22"/>
  <c r="G29" i="21"/>
  <c r="F29" i="21"/>
  <c r="E29" i="21"/>
  <c r="D29" i="21"/>
  <c r="G16" i="21"/>
  <c r="F16" i="21"/>
  <c r="E16" i="21"/>
  <c r="D16" i="21"/>
  <c r="P78" i="9"/>
  <c r="L78" i="9"/>
  <c r="H78" i="9"/>
  <c r="D78" i="9"/>
  <c r="P66" i="9"/>
  <c r="L66" i="9"/>
  <c r="H66" i="9"/>
  <c r="P54" i="9"/>
  <c r="L54" i="9"/>
  <c r="H54" i="9"/>
  <c r="D54" i="9"/>
  <c r="T39" i="9"/>
  <c r="P39" i="9"/>
  <c r="L39" i="9"/>
  <c r="H39" i="9"/>
  <c r="D39" i="9"/>
  <c r="T27" i="9"/>
  <c r="P27" i="9"/>
  <c r="L27" i="9"/>
  <c r="H27" i="9"/>
  <c r="D27" i="9"/>
  <c r="T15" i="9"/>
  <c r="P15" i="9"/>
  <c r="L15" i="9"/>
  <c r="H15" i="9"/>
  <c r="D15" i="9"/>
  <c r="P53" i="7"/>
  <c r="L53" i="7"/>
  <c r="H53" i="7"/>
  <c r="D53" i="7"/>
  <c r="P45" i="7"/>
  <c r="L45" i="7"/>
  <c r="H45" i="7"/>
  <c r="D45" i="7"/>
  <c r="P37" i="7"/>
  <c r="L37" i="7"/>
  <c r="H37" i="7"/>
  <c r="D37" i="7"/>
  <c r="T27" i="7"/>
  <c r="P27" i="7"/>
  <c r="L27" i="7"/>
  <c r="H27" i="7"/>
  <c r="D27" i="7"/>
  <c r="T19" i="7"/>
  <c r="P19" i="7"/>
  <c r="L19" i="7"/>
  <c r="H19" i="7"/>
  <c r="D19" i="7"/>
  <c r="T11" i="7"/>
  <c r="P11" i="7"/>
  <c r="L11" i="7"/>
  <c r="H11" i="7"/>
  <c r="D11" i="7"/>
  <c r="H25" i="6"/>
  <c r="D47" i="25" l="1"/>
  <c r="D37" i="25"/>
  <c r="D13" i="25"/>
  <c r="D24" i="25"/>
  <c r="D45" i="13"/>
  <c r="D34" i="13"/>
  <c r="D20" i="13"/>
  <c r="D11" i="13"/>
  <c r="I17" i="12"/>
  <c r="H17" i="12"/>
  <c r="G17" i="12"/>
  <c r="F17" i="12"/>
  <c r="E17" i="12"/>
  <c r="D17" i="12"/>
  <c r="I8" i="12"/>
  <c r="H8" i="12"/>
  <c r="G8" i="12"/>
  <c r="F8" i="12"/>
  <c r="E8" i="12"/>
  <c r="D8" i="12"/>
  <c r="T22" i="27"/>
  <c r="S22" i="27"/>
  <c r="T16" i="27"/>
  <c r="T17" i="27" s="1"/>
  <c r="S16" i="27"/>
  <c r="S17" i="27" s="1"/>
  <c r="S11" i="27"/>
  <c r="S12" i="27" s="1"/>
  <c r="T11" i="27"/>
  <c r="T12" i="27" s="1"/>
  <c r="T6" i="27"/>
  <c r="T7" i="27" s="1"/>
  <c r="S7" i="27"/>
  <c r="S6" i="27"/>
  <c r="Q16" i="27"/>
  <c r="Q17" i="27" s="1"/>
  <c r="P16" i="27"/>
  <c r="P17" i="27" s="1"/>
  <c r="Q11" i="27"/>
  <c r="Q12" i="27" s="1"/>
  <c r="P11" i="27"/>
  <c r="P12" i="27" s="1"/>
  <c r="D8" i="2"/>
  <c r="D9" i="2"/>
  <c r="L9" i="2"/>
  <c r="L10" i="2"/>
  <c r="L11" i="2"/>
  <c r="H17" i="2"/>
  <c r="L17" i="2"/>
  <c r="H18" i="2"/>
  <c r="L18" i="2"/>
  <c r="H19" i="2"/>
  <c r="L19" i="2"/>
  <c r="H25" i="2"/>
  <c r="D16" i="3"/>
  <c r="D9" i="3"/>
  <c r="AA43" i="19" l="1"/>
  <c r="X8" i="18"/>
  <c r="X7" i="18"/>
  <c r="X6" i="18"/>
  <c r="X5" i="18"/>
  <c r="X10" i="18" s="1"/>
  <c r="L8" i="18"/>
  <c r="L7" i="18"/>
  <c r="L6" i="18"/>
  <c r="L10" i="18"/>
  <c r="O26" i="10"/>
  <c r="L16" i="16"/>
  <c r="L9" i="16"/>
  <c r="L23" i="16"/>
  <c r="F11" i="22"/>
  <c r="X9" i="18" l="1"/>
  <c r="L9" i="18"/>
  <c r="D21" i="13" l="1"/>
  <c r="I23" i="11" l="1"/>
  <c r="H14" i="9" l="1"/>
  <c r="T10" i="7"/>
  <c r="H24" i="6"/>
  <c r="P77" i="9"/>
  <c r="L77" i="9"/>
  <c r="H77" i="9"/>
  <c r="D77" i="9"/>
  <c r="P65" i="9"/>
  <c r="L65" i="9"/>
  <c r="H65" i="9"/>
  <c r="D65" i="9"/>
  <c r="P53" i="9"/>
  <c r="L53" i="9"/>
  <c r="H53" i="9"/>
  <c r="D53" i="9"/>
  <c r="T38" i="9"/>
  <c r="P38" i="9"/>
  <c r="L38" i="9"/>
  <c r="H38" i="9"/>
  <c r="D38" i="9"/>
  <c r="T26" i="9"/>
  <c r="P26" i="9"/>
  <c r="L26" i="9"/>
  <c r="H26" i="9"/>
  <c r="D26" i="9"/>
  <c r="T14" i="9"/>
  <c r="P14" i="9"/>
  <c r="L14" i="9"/>
  <c r="D14" i="9"/>
  <c r="P52" i="7"/>
  <c r="L52" i="7"/>
  <c r="H52" i="7"/>
  <c r="D52" i="7"/>
  <c r="P44" i="7"/>
  <c r="L44" i="7"/>
  <c r="H44" i="7"/>
  <c r="D44" i="7"/>
  <c r="P36" i="7"/>
  <c r="L36" i="7"/>
  <c r="H36" i="7"/>
  <c r="D36" i="7"/>
  <c r="T26" i="7"/>
  <c r="P26" i="7"/>
  <c r="L26" i="7"/>
  <c r="H26" i="7"/>
  <c r="D26" i="7"/>
  <c r="T18" i="7"/>
  <c r="P18" i="7"/>
  <c r="L18" i="7"/>
  <c r="H18" i="7"/>
  <c r="D18" i="7"/>
  <c r="P10" i="7"/>
  <c r="L10" i="7"/>
  <c r="H10" i="7"/>
  <c r="D10" i="7"/>
  <c r="H27" i="2" l="1"/>
  <c r="D24" i="6"/>
  <c r="G54" i="27" l="1"/>
  <c r="G53" i="27"/>
  <c r="G52" i="27"/>
  <c r="G51" i="27"/>
  <c r="G27" i="27"/>
  <c r="G50" i="27"/>
  <c r="G26" i="27"/>
  <c r="G49" i="27"/>
  <c r="G25" i="27"/>
  <c r="G48" i="27"/>
  <c r="G24" i="27"/>
  <c r="G47" i="27"/>
  <c r="G23" i="27"/>
  <c r="G46" i="27"/>
  <c r="G22" i="27"/>
  <c r="G45" i="27"/>
  <c r="G21" i="27"/>
  <c r="G44" i="27"/>
  <c r="G20" i="27"/>
  <c r="G43" i="27"/>
  <c r="G19" i="27"/>
  <c r="G42" i="27"/>
  <c r="G18" i="27"/>
  <c r="G41" i="27"/>
  <c r="G17" i="27"/>
  <c r="G40" i="27"/>
  <c r="G16" i="27"/>
  <c r="G15" i="27"/>
  <c r="G14" i="27"/>
  <c r="D10" i="3" l="1"/>
  <c r="N20" i="15" l="1"/>
  <c r="D11" i="12" l="1"/>
  <c r="D33" i="13"/>
  <c r="D35" i="13"/>
  <c r="D44" i="13"/>
  <c r="D46" i="13"/>
  <c r="H6" i="21" l="1"/>
  <c r="C11" i="22"/>
  <c r="D11" i="22"/>
  <c r="N5" i="15"/>
  <c r="L12" i="18"/>
  <c r="M5" i="19"/>
  <c r="D48" i="25" l="1"/>
  <c r="D46" i="25"/>
  <c r="D38" i="25"/>
  <c r="D36" i="25"/>
  <c r="D14" i="25"/>
  <c r="D12" i="25"/>
  <c r="D25" i="25"/>
  <c r="D23" i="25"/>
  <c r="AB60" i="15" l="1"/>
  <c r="AB58" i="15"/>
  <c r="AB56" i="15"/>
  <c r="AB54" i="15"/>
  <c r="AB52" i="15"/>
  <c r="AB50" i="15"/>
  <c r="AB63" i="15" s="1"/>
  <c r="AB45" i="15"/>
  <c r="AB43" i="15"/>
  <c r="AB41" i="15"/>
  <c r="AB39" i="15"/>
  <c r="AB37" i="15"/>
  <c r="AB35" i="15"/>
  <c r="AB48" i="15" s="1"/>
  <c r="AB30" i="15"/>
  <c r="AB28" i="15"/>
  <c r="AB26" i="15"/>
  <c r="AB24" i="15"/>
  <c r="AB22" i="15"/>
  <c r="AB20" i="15"/>
  <c r="AB33" i="15" s="1"/>
  <c r="AB15" i="15"/>
  <c r="AB13" i="15"/>
  <c r="AB11" i="15"/>
  <c r="AB9" i="15"/>
  <c r="AB7" i="15"/>
  <c r="AB5" i="15"/>
  <c r="AB18" i="15" s="1"/>
  <c r="N60" i="15"/>
  <c r="N58" i="15"/>
  <c r="N56" i="15"/>
  <c r="N54" i="15"/>
  <c r="N52" i="15"/>
  <c r="N50" i="15"/>
  <c r="N63" i="15" s="1"/>
  <c r="N45" i="15"/>
  <c r="N43" i="15"/>
  <c r="N41" i="15"/>
  <c r="N39" i="15"/>
  <c r="N37" i="15"/>
  <c r="N35" i="15"/>
  <c r="N48" i="15" s="1"/>
  <c r="N30" i="15"/>
  <c r="N28" i="15"/>
  <c r="N26" i="15"/>
  <c r="N24" i="15"/>
  <c r="N22" i="15"/>
  <c r="N33" i="15" s="1"/>
  <c r="N15" i="15"/>
  <c r="N13" i="15"/>
  <c r="N11" i="15"/>
  <c r="N9" i="15"/>
  <c r="N7" i="15"/>
  <c r="N18" i="15" s="1"/>
  <c r="AB47" i="15" l="1"/>
  <c r="AB32" i="15"/>
  <c r="AB17" i="15"/>
  <c r="N47" i="15"/>
  <c r="N32" i="15"/>
  <c r="AB62" i="15"/>
  <c r="N17" i="15"/>
  <c r="N62" i="15"/>
  <c r="I20" i="12" l="1"/>
  <c r="H20" i="12"/>
  <c r="G20" i="12"/>
  <c r="F20" i="12"/>
  <c r="E20" i="12"/>
  <c r="D20" i="12"/>
  <c r="I11" i="12"/>
  <c r="H11" i="12"/>
  <c r="G11" i="12"/>
  <c r="F11" i="12"/>
  <c r="E11" i="12"/>
  <c r="P18" i="23" l="1"/>
  <c r="H18" i="23"/>
  <c r="P17" i="23"/>
  <c r="H17" i="23"/>
  <c r="P16" i="23"/>
  <c r="H16" i="23"/>
  <c r="P15" i="23"/>
  <c r="H15" i="23"/>
  <c r="P14" i="23"/>
  <c r="H14" i="23"/>
  <c r="H21" i="23" s="1"/>
  <c r="P9" i="23"/>
  <c r="H9" i="23"/>
  <c r="P8" i="23"/>
  <c r="H8" i="23"/>
  <c r="P7" i="23"/>
  <c r="H7" i="23"/>
  <c r="P6" i="23"/>
  <c r="H6" i="23"/>
  <c r="P5" i="23"/>
  <c r="H5" i="23"/>
  <c r="P24" i="17"/>
  <c r="P57" i="17"/>
  <c r="H57" i="17"/>
  <c r="P46" i="17"/>
  <c r="H46" i="17"/>
  <c r="P35" i="17"/>
  <c r="H35" i="17"/>
  <c r="H24" i="17"/>
  <c r="P13" i="17"/>
  <c r="E13" i="22"/>
  <c r="D13" i="22"/>
  <c r="C13" i="22"/>
  <c r="F13" i="22"/>
  <c r="E11" i="22"/>
  <c r="D28" i="21"/>
  <c r="D19" i="13"/>
  <c r="D12" i="13"/>
  <c r="H12" i="23" l="1"/>
  <c r="P20" i="23"/>
  <c r="P21" i="23"/>
  <c r="P12" i="23"/>
  <c r="H11" i="23"/>
  <c r="H20" i="23"/>
  <c r="P11" i="23"/>
  <c r="G15" i="21" l="1"/>
  <c r="F15" i="21"/>
  <c r="E15" i="21"/>
  <c r="D15" i="21"/>
  <c r="G28" i="21"/>
  <c r="F28" i="21"/>
  <c r="E28" i="21"/>
  <c r="K13" i="21"/>
  <c r="J13" i="21"/>
  <c r="I13" i="21"/>
  <c r="H13" i="21"/>
  <c r="K26" i="21"/>
  <c r="J26" i="21"/>
  <c r="I26" i="21"/>
  <c r="H26" i="21"/>
  <c r="K12" i="21"/>
  <c r="J12" i="21"/>
  <c r="I12" i="21"/>
  <c r="H12" i="21"/>
  <c r="K25" i="21"/>
  <c r="J25" i="21"/>
  <c r="I25" i="21"/>
  <c r="H25" i="21"/>
  <c r="K11" i="21"/>
  <c r="J11" i="21"/>
  <c r="I11" i="21"/>
  <c r="H11" i="21"/>
  <c r="K24" i="21"/>
  <c r="J24" i="21"/>
  <c r="I24" i="21"/>
  <c r="H24" i="21"/>
  <c r="K10" i="21"/>
  <c r="J10" i="21"/>
  <c r="I10" i="21"/>
  <c r="H10" i="21"/>
  <c r="K23" i="21"/>
  <c r="J23" i="21"/>
  <c r="I23" i="21"/>
  <c r="H23" i="21"/>
  <c r="K9" i="21"/>
  <c r="J9" i="21"/>
  <c r="I9" i="21"/>
  <c r="H9" i="21"/>
  <c r="K22" i="21"/>
  <c r="J22" i="21"/>
  <c r="I22" i="21"/>
  <c r="H22" i="21"/>
  <c r="K8" i="21"/>
  <c r="J8" i="21"/>
  <c r="I8" i="21"/>
  <c r="H8" i="21"/>
  <c r="K21" i="21"/>
  <c r="J21" i="21"/>
  <c r="I21" i="21"/>
  <c r="H21" i="21"/>
  <c r="K7" i="21"/>
  <c r="J7" i="21"/>
  <c r="I7" i="21"/>
  <c r="H7" i="21"/>
  <c r="H16" i="21" s="1"/>
  <c r="K20" i="21"/>
  <c r="J20" i="21"/>
  <c r="I20" i="21"/>
  <c r="H20" i="21"/>
  <c r="K6" i="21"/>
  <c r="J6" i="21"/>
  <c r="I6" i="21"/>
  <c r="K19" i="21"/>
  <c r="J19" i="21"/>
  <c r="I19" i="21"/>
  <c r="I29" i="21" s="1"/>
  <c r="H19" i="21"/>
  <c r="AC45" i="20"/>
  <c r="N45" i="20"/>
  <c r="AC44" i="20"/>
  <c r="N44" i="20"/>
  <c r="AC43" i="20"/>
  <c r="N43" i="20"/>
  <c r="AC42" i="20"/>
  <c r="AD42" i="20" s="1"/>
  <c r="N42" i="20"/>
  <c r="O42" i="20" s="1"/>
  <c r="AC41" i="20"/>
  <c r="N41" i="20"/>
  <c r="AC40" i="20"/>
  <c r="AD40" i="20" s="1"/>
  <c r="N40" i="20"/>
  <c r="O40" i="20" s="1"/>
  <c r="AC39" i="20"/>
  <c r="N39" i="20"/>
  <c r="AC38" i="20"/>
  <c r="N38" i="20"/>
  <c r="AC34" i="20"/>
  <c r="N34" i="20"/>
  <c r="AC33" i="20"/>
  <c r="AD33" i="20" s="1"/>
  <c r="N33" i="20"/>
  <c r="O33" i="20" s="1"/>
  <c r="AC32" i="20"/>
  <c r="N32" i="20"/>
  <c r="AC31" i="20"/>
  <c r="AD31" i="20" s="1"/>
  <c r="N31" i="20"/>
  <c r="O31" i="20" s="1"/>
  <c r="AC30" i="20"/>
  <c r="N30" i="20"/>
  <c r="AC29" i="20"/>
  <c r="N29" i="20"/>
  <c r="AC28" i="20"/>
  <c r="N28" i="20"/>
  <c r="AC27" i="20"/>
  <c r="AD27" i="20" s="1"/>
  <c r="N27" i="20"/>
  <c r="O27" i="20" s="1"/>
  <c r="AC23" i="20"/>
  <c r="N23" i="20"/>
  <c r="AC22" i="20"/>
  <c r="AD22" i="20" s="1"/>
  <c r="N22" i="20"/>
  <c r="O22" i="20" s="1"/>
  <c r="AC21" i="20"/>
  <c r="N21" i="20"/>
  <c r="AC20" i="20"/>
  <c r="N20" i="20"/>
  <c r="AC19" i="20"/>
  <c r="N19" i="20"/>
  <c r="AC18" i="20"/>
  <c r="AD18" i="20" s="1"/>
  <c r="N18" i="20"/>
  <c r="O18" i="20" s="1"/>
  <c r="AC17" i="20"/>
  <c r="N17" i="20"/>
  <c r="AC16" i="20"/>
  <c r="AD16" i="20" s="1"/>
  <c r="N16" i="20"/>
  <c r="O16" i="20" s="1"/>
  <c r="AC12" i="20"/>
  <c r="N12" i="20"/>
  <c r="AC11" i="20"/>
  <c r="N11" i="20"/>
  <c r="AC10" i="20"/>
  <c r="N10" i="20"/>
  <c r="AC9" i="20"/>
  <c r="AD9" i="20" s="1"/>
  <c r="N9" i="20"/>
  <c r="O9" i="20" s="1"/>
  <c r="AC8" i="20"/>
  <c r="N8" i="20"/>
  <c r="AC7" i="20"/>
  <c r="AD7" i="20" s="1"/>
  <c r="N7" i="20"/>
  <c r="AC6" i="20"/>
  <c r="N6" i="20"/>
  <c r="AC5" i="20"/>
  <c r="N5" i="20"/>
  <c r="H29" i="21" l="1"/>
  <c r="K29" i="21"/>
  <c r="K16" i="21"/>
  <c r="O25" i="20"/>
  <c r="O24" i="20"/>
  <c r="J29" i="21"/>
  <c r="I16" i="21"/>
  <c r="O36" i="20"/>
  <c r="O5" i="20"/>
  <c r="O20" i="20"/>
  <c r="O29" i="20"/>
  <c r="O35" i="20" s="1"/>
  <c r="O38" i="20"/>
  <c r="O44" i="20"/>
  <c r="J16" i="21"/>
  <c r="AD5" i="20"/>
  <c r="AD11" i="20"/>
  <c r="AD20" i="20"/>
  <c r="AD25" i="20" s="1"/>
  <c r="AD29" i="20"/>
  <c r="AD36" i="20" s="1"/>
  <c r="AD38" i="20"/>
  <c r="AD44" i="20"/>
  <c r="O7" i="20"/>
  <c r="O11" i="20"/>
  <c r="H28" i="21"/>
  <c r="H15" i="21"/>
  <c r="I28" i="21"/>
  <c r="I15" i="21"/>
  <c r="J28" i="21"/>
  <c r="J15" i="21"/>
  <c r="K28" i="21"/>
  <c r="K15" i="21"/>
  <c r="AD24" i="20" l="1"/>
  <c r="AD35" i="20"/>
  <c r="AD47" i="20"/>
  <c r="AD46" i="20"/>
  <c r="AD13" i="20"/>
  <c r="AD14" i="20"/>
  <c r="O47" i="20"/>
  <c r="O46" i="20"/>
  <c r="O14" i="20"/>
  <c r="O13" i="20"/>
  <c r="AA58" i="19"/>
  <c r="M58" i="19"/>
  <c r="AA57" i="19"/>
  <c r="M57" i="19"/>
  <c r="AA56" i="19"/>
  <c r="M56" i="19"/>
  <c r="AA55" i="19"/>
  <c r="AB55" i="19" s="1"/>
  <c r="M55" i="19"/>
  <c r="AA54" i="19"/>
  <c r="M54" i="19"/>
  <c r="AA53" i="19"/>
  <c r="M53" i="19"/>
  <c r="AA52" i="19"/>
  <c r="M52" i="19"/>
  <c r="AA51" i="19"/>
  <c r="M51" i="19"/>
  <c r="AA50" i="19"/>
  <c r="M50" i="19"/>
  <c r="AA49" i="19"/>
  <c r="AB49" i="19" s="1"/>
  <c r="M49" i="19"/>
  <c r="N49" i="19" s="1"/>
  <c r="AA48" i="19"/>
  <c r="M48" i="19"/>
  <c r="AA47" i="19"/>
  <c r="M47" i="19"/>
  <c r="AA46" i="19"/>
  <c r="M46" i="19"/>
  <c r="AA45" i="19"/>
  <c r="M45" i="19"/>
  <c r="AA44" i="19"/>
  <c r="M44" i="19"/>
  <c r="AB43" i="19"/>
  <c r="M43" i="19"/>
  <c r="N43" i="19" s="1"/>
  <c r="AA39" i="19"/>
  <c r="M39" i="19"/>
  <c r="AA38" i="19"/>
  <c r="M38" i="19"/>
  <c r="AA37" i="19"/>
  <c r="M37" i="19"/>
  <c r="AA36" i="19"/>
  <c r="M36" i="19"/>
  <c r="AA35" i="19"/>
  <c r="M35" i="19"/>
  <c r="AA34" i="19"/>
  <c r="AB34" i="19" s="1"/>
  <c r="M34" i="19"/>
  <c r="N34" i="19" s="1"/>
  <c r="AA33" i="19"/>
  <c r="M33" i="19"/>
  <c r="AA32" i="19"/>
  <c r="M32" i="19"/>
  <c r="AA31" i="19"/>
  <c r="M31" i="19"/>
  <c r="AA30" i="19"/>
  <c r="M30" i="19"/>
  <c r="AA29" i="19"/>
  <c r="M29" i="19"/>
  <c r="AA28" i="19"/>
  <c r="AB28" i="19" s="1"/>
  <c r="M28" i="19"/>
  <c r="N28" i="19" s="1"/>
  <c r="AA27" i="19"/>
  <c r="M27" i="19"/>
  <c r="AA26" i="19"/>
  <c r="M26" i="19"/>
  <c r="AA25" i="19"/>
  <c r="M25" i="19"/>
  <c r="AA24" i="19"/>
  <c r="M24" i="19"/>
  <c r="AA20" i="19"/>
  <c r="M20" i="19"/>
  <c r="AA19" i="19"/>
  <c r="AB19" i="19" s="1"/>
  <c r="M19" i="19"/>
  <c r="N19" i="19" s="1"/>
  <c r="AA18" i="19"/>
  <c r="M18" i="19"/>
  <c r="AA17" i="19"/>
  <c r="M17" i="19"/>
  <c r="AA16" i="19"/>
  <c r="M16" i="19"/>
  <c r="AA15" i="19"/>
  <c r="M15" i="19"/>
  <c r="AA14" i="19"/>
  <c r="M14" i="19"/>
  <c r="AA13" i="19"/>
  <c r="AB13" i="19" s="1"/>
  <c r="M13" i="19"/>
  <c r="N13" i="19" s="1"/>
  <c r="AA12" i="19"/>
  <c r="M12" i="19"/>
  <c r="AA11" i="19"/>
  <c r="M11" i="19"/>
  <c r="AA10" i="19"/>
  <c r="M10" i="19"/>
  <c r="AA9" i="19"/>
  <c r="M9" i="19"/>
  <c r="AA8" i="19"/>
  <c r="M8" i="19"/>
  <c r="AA7" i="19"/>
  <c r="AB7" i="19" s="1"/>
  <c r="M7" i="19"/>
  <c r="N7" i="19" s="1"/>
  <c r="AA6" i="19"/>
  <c r="M6" i="19"/>
  <c r="N5" i="19" s="1"/>
  <c r="AA5" i="19"/>
  <c r="X71" i="18"/>
  <c r="L71" i="18"/>
  <c r="X70" i="18"/>
  <c r="L70" i="18"/>
  <c r="X69" i="18"/>
  <c r="L69" i="18"/>
  <c r="X68" i="18"/>
  <c r="L68" i="18"/>
  <c r="X67" i="18"/>
  <c r="L67" i="18"/>
  <c r="X66" i="18"/>
  <c r="L66" i="18"/>
  <c r="X62" i="18"/>
  <c r="L62" i="18"/>
  <c r="X61" i="18"/>
  <c r="L61" i="18"/>
  <c r="X60" i="18"/>
  <c r="L60" i="18"/>
  <c r="X59" i="18"/>
  <c r="L59" i="18"/>
  <c r="X58" i="18"/>
  <c r="L58" i="18"/>
  <c r="X57" i="18"/>
  <c r="L57" i="18"/>
  <c r="X56" i="18"/>
  <c r="L56" i="18"/>
  <c r="X55" i="18"/>
  <c r="L55" i="18"/>
  <c r="L51" i="18"/>
  <c r="L50" i="18"/>
  <c r="L49" i="18"/>
  <c r="X48" i="18"/>
  <c r="L48" i="18"/>
  <c r="X47" i="18"/>
  <c r="L47" i="18"/>
  <c r="X46" i="18"/>
  <c r="L46" i="18"/>
  <c r="X45" i="18"/>
  <c r="X53" i="18" s="1"/>
  <c r="L45" i="18"/>
  <c r="L41" i="18"/>
  <c r="L40" i="18"/>
  <c r="L39" i="18"/>
  <c r="L38" i="18"/>
  <c r="X37" i="18"/>
  <c r="L37" i="18"/>
  <c r="X36" i="18"/>
  <c r="L36" i="18"/>
  <c r="X35" i="18"/>
  <c r="L35" i="18"/>
  <c r="X34" i="18"/>
  <c r="X43" i="18" s="1"/>
  <c r="L34" i="18"/>
  <c r="X30" i="18"/>
  <c r="L30" i="18"/>
  <c r="X29" i="18"/>
  <c r="L29" i="18"/>
  <c r="X28" i="18"/>
  <c r="L28" i="18"/>
  <c r="X27" i="18"/>
  <c r="L27" i="18"/>
  <c r="X26" i="18"/>
  <c r="L26" i="18"/>
  <c r="X25" i="18"/>
  <c r="L25" i="18"/>
  <c r="X24" i="18"/>
  <c r="L24" i="18"/>
  <c r="X23" i="18"/>
  <c r="L23" i="18"/>
  <c r="L19" i="18"/>
  <c r="L18" i="18"/>
  <c r="L17" i="18"/>
  <c r="L16" i="18"/>
  <c r="L15" i="18"/>
  <c r="L14" i="18"/>
  <c r="L13" i="18"/>
  <c r="L21" i="18" s="1"/>
  <c r="H13" i="17"/>
  <c r="X22" i="16"/>
  <c r="X21" i="16"/>
  <c r="X20" i="16"/>
  <c r="X19" i="16"/>
  <c r="X15" i="16"/>
  <c r="X14" i="16"/>
  <c r="X13" i="16"/>
  <c r="X12" i="16"/>
  <c r="X8" i="16"/>
  <c r="X7" i="16"/>
  <c r="X6" i="16"/>
  <c r="X5" i="16"/>
  <c r="X10" i="16" l="1"/>
  <c r="X9" i="16"/>
  <c r="L43" i="18"/>
  <c r="L53" i="18"/>
  <c r="X64" i="18"/>
  <c r="X73" i="18"/>
  <c r="X17" i="16"/>
  <c r="X16" i="16"/>
  <c r="X24" i="16"/>
  <c r="X23" i="16"/>
  <c r="L32" i="18"/>
  <c r="X32" i="18"/>
  <c r="N9" i="19"/>
  <c r="N15" i="19"/>
  <c r="N24" i="19"/>
  <c r="N30" i="19"/>
  <c r="N36" i="19"/>
  <c r="N45" i="19"/>
  <c r="N60" i="19" s="1"/>
  <c r="N51" i="19"/>
  <c r="N57" i="19"/>
  <c r="L73" i="18"/>
  <c r="L64" i="18"/>
  <c r="AB9" i="19"/>
  <c r="AB15" i="19"/>
  <c r="AB24" i="19"/>
  <c r="AB30" i="19"/>
  <c r="AB36" i="19"/>
  <c r="AB45" i="19"/>
  <c r="AB59" i="19" s="1"/>
  <c r="AB51" i="19"/>
  <c r="AB57" i="19"/>
  <c r="N55" i="19"/>
  <c r="N11" i="19"/>
  <c r="N22" i="19" s="1"/>
  <c r="N17" i="19"/>
  <c r="N26" i="19"/>
  <c r="N32" i="19"/>
  <c r="N38" i="19"/>
  <c r="N47" i="19"/>
  <c r="AB5" i="19"/>
  <c r="AB11" i="19"/>
  <c r="AB17" i="19"/>
  <c r="AB26" i="19"/>
  <c r="AB32" i="19"/>
  <c r="AB38" i="19"/>
  <c r="AB47" i="19"/>
  <c r="AB60" i="19" s="1"/>
  <c r="AB53" i="19"/>
  <c r="N53" i="19"/>
  <c r="L63" i="18"/>
  <c r="L72" i="18"/>
  <c r="L31" i="18"/>
  <c r="L42" i="18"/>
  <c r="L52" i="18"/>
  <c r="X63" i="18"/>
  <c r="X72" i="18"/>
  <c r="X31" i="18"/>
  <c r="X42" i="18"/>
  <c r="X52" i="18"/>
  <c r="L20" i="18"/>
  <c r="D10" i="13"/>
  <c r="I16" i="12"/>
  <c r="I19" i="12" s="1"/>
  <c r="H16" i="12"/>
  <c r="H19" i="12" s="1"/>
  <c r="G16" i="12"/>
  <c r="G19" i="12" s="1"/>
  <c r="F16" i="12"/>
  <c r="F19" i="12" s="1"/>
  <c r="E16" i="12"/>
  <c r="E19" i="12" s="1"/>
  <c r="D16" i="12"/>
  <c r="D19" i="12" s="1"/>
  <c r="I7" i="12"/>
  <c r="I10" i="12" s="1"/>
  <c r="H7" i="12"/>
  <c r="H10" i="12" s="1"/>
  <c r="G7" i="12"/>
  <c r="G10" i="12" s="1"/>
  <c r="F7" i="12"/>
  <c r="F10" i="12" s="1"/>
  <c r="E7" i="12"/>
  <c r="E10" i="12" s="1"/>
  <c r="D7" i="12"/>
  <c r="D10" i="12" s="1"/>
  <c r="R81" i="11"/>
  <c r="Q81" i="11"/>
  <c r="P81" i="11"/>
  <c r="O81" i="11"/>
  <c r="H81" i="11"/>
  <c r="G81" i="11"/>
  <c r="F81" i="11"/>
  <c r="E81" i="11"/>
  <c r="I83" i="11" s="1"/>
  <c r="S79" i="11"/>
  <c r="I79" i="11"/>
  <c r="S78" i="11"/>
  <c r="I78" i="11"/>
  <c r="S76" i="11"/>
  <c r="I76" i="11"/>
  <c r="S75" i="11"/>
  <c r="I75" i="11"/>
  <c r="S73" i="11"/>
  <c r="I73" i="11"/>
  <c r="S72" i="11"/>
  <c r="I72" i="11"/>
  <c r="S70" i="11"/>
  <c r="I70" i="11"/>
  <c r="S69" i="11"/>
  <c r="I69" i="11"/>
  <c r="S67" i="11"/>
  <c r="I67" i="11"/>
  <c r="S66" i="11"/>
  <c r="I66" i="11"/>
  <c r="S64" i="11"/>
  <c r="I64" i="11"/>
  <c r="S63" i="11"/>
  <c r="I63" i="11"/>
  <c r="J64" i="11" s="1"/>
  <c r="S61" i="11"/>
  <c r="I61" i="11"/>
  <c r="S60" i="11"/>
  <c r="I60" i="11"/>
  <c r="S58" i="11"/>
  <c r="I58" i="11"/>
  <c r="S57" i="11"/>
  <c r="I57" i="11"/>
  <c r="S55" i="11"/>
  <c r="I55" i="11"/>
  <c r="I54" i="11"/>
  <c r="S52" i="11"/>
  <c r="I52" i="11"/>
  <c r="T52" i="11"/>
  <c r="I51" i="11"/>
  <c r="S49" i="11"/>
  <c r="I49" i="11"/>
  <c r="S48" i="11"/>
  <c r="I48" i="11"/>
  <c r="S46" i="11"/>
  <c r="I46" i="11"/>
  <c r="S45" i="11"/>
  <c r="I45" i="11"/>
  <c r="J46" i="11" s="1"/>
  <c r="R41" i="11"/>
  <c r="Q41" i="11"/>
  <c r="P41" i="11"/>
  <c r="O41" i="11"/>
  <c r="H41" i="11"/>
  <c r="G41" i="11"/>
  <c r="F41" i="11"/>
  <c r="E41" i="11"/>
  <c r="S39" i="11"/>
  <c r="I39" i="11"/>
  <c r="S38" i="11"/>
  <c r="I38" i="11"/>
  <c r="S36" i="11"/>
  <c r="I36" i="11"/>
  <c r="S35" i="11"/>
  <c r="I35" i="11"/>
  <c r="S33" i="11"/>
  <c r="I33" i="11"/>
  <c r="S32" i="11"/>
  <c r="I32" i="11"/>
  <c r="S30" i="11"/>
  <c r="I30" i="11"/>
  <c r="S29" i="11"/>
  <c r="I29" i="11"/>
  <c r="J30" i="11" s="1"/>
  <c r="S27" i="11"/>
  <c r="I27" i="11"/>
  <c r="S26" i="11"/>
  <c r="I26" i="11"/>
  <c r="S24" i="11"/>
  <c r="I24" i="11"/>
  <c r="J24" i="11" s="1"/>
  <c r="S23" i="11"/>
  <c r="S21" i="11"/>
  <c r="I21" i="11"/>
  <c r="S20" i="11"/>
  <c r="I20" i="11"/>
  <c r="S18" i="11"/>
  <c r="I18" i="11"/>
  <c r="S17" i="11"/>
  <c r="I17" i="11"/>
  <c r="S15" i="11"/>
  <c r="I15" i="11"/>
  <c r="S14" i="11"/>
  <c r="T15" i="11" s="1"/>
  <c r="I14" i="11"/>
  <c r="S12" i="11"/>
  <c r="I12" i="11"/>
  <c r="S11" i="11"/>
  <c r="I11" i="11"/>
  <c r="J12" i="11" s="1"/>
  <c r="S9" i="11"/>
  <c r="I9" i="11"/>
  <c r="S8" i="11"/>
  <c r="I8" i="11"/>
  <c r="S6" i="11"/>
  <c r="I6" i="11"/>
  <c r="S5" i="11"/>
  <c r="T6" i="11" s="1"/>
  <c r="I5" i="11"/>
  <c r="W71" i="10"/>
  <c r="W70" i="10"/>
  <c r="W69" i="10"/>
  <c r="W68" i="10"/>
  <c r="W73" i="10" s="1"/>
  <c r="W64" i="10"/>
  <c r="W63" i="10"/>
  <c r="W62" i="10"/>
  <c r="W61" i="10"/>
  <c r="W57" i="10"/>
  <c r="H57" i="10"/>
  <c r="W56" i="10"/>
  <c r="H56" i="10"/>
  <c r="W55" i="10"/>
  <c r="H55" i="10"/>
  <c r="W54" i="10"/>
  <c r="W59" i="10" s="1"/>
  <c r="H54" i="10"/>
  <c r="H59" i="10" s="1"/>
  <c r="W50" i="10"/>
  <c r="O50" i="10"/>
  <c r="H50" i="10"/>
  <c r="W49" i="10"/>
  <c r="O49" i="10"/>
  <c r="H49" i="10"/>
  <c r="W48" i="10"/>
  <c r="O48" i="10"/>
  <c r="H48" i="10"/>
  <c r="W47" i="10"/>
  <c r="O47" i="10"/>
  <c r="O52" i="10" s="1"/>
  <c r="H47" i="10"/>
  <c r="H52" i="10" s="1"/>
  <c r="W43" i="10"/>
  <c r="O43" i="10"/>
  <c r="H43" i="10"/>
  <c r="W42" i="10"/>
  <c r="O42" i="10"/>
  <c r="H42" i="10"/>
  <c r="W41" i="10"/>
  <c r="O41" i="10"/>
  <c r="H41" i="10"/>
  <c r="W40" i="10"/>
  <c r="O40" i="10"/>
  <c r="O45" i="10" s="1"/>
  <c r="H40" i="10"/>
  <c r="H45" i="10" s="1"/>
  <c r="AD36" i="10"/>
  <c r="W36" i="10"/>
  <c r="O36" i="10"/>
  <c r="H36" i="10"/>
  <c r="AD35" i="10"/>
  <c r="W35" i="10"/>
  <c r="O35" i="10"/>
  <c r="H35" i="10"/>
  <c r="AD34" i="10"/>
  <c r="W34" i="10"/>
  <c r="O34" i="10"/>
  <c r="H34" i="10"/>
  <c r="AD33" i="10"/>
  <c r="AD38" i="10" s="1"/>
  <c r="W33" i="10"/>
  <c r="W38" i="10" s="1"/>
  <c r="O33" i="10"/>
  <c r="H33" i="10"/>
  <c r="AD29" i="10"/>
  <c r="W29" i="10"/>
  <c r="O29" i="10"/>
  <c r="H29" i="10"/>
  <c r="AD28" i="10"/>
  <c r="W28" i="10"/>
  <c r="O28" i="10"/>
  <c r="H28" i="10"/>
  <c r="AD27" i="10"/>
  <c r="W27" i="10"/>
  <c r="O27" i="10"/>
  <c r="H27" i="10"/>
  <c r="AD26" i="10"/>
  <c r="W26" i="10"/>
  <c r="H26" i="10"/>
  <c r="AD22" i="10"/>
  <c r="W22" i="10"/>
  <c r="O22" i="10"/>
  <c r="H22" i="10"/>
  <c r="AD21" i="10"/>
  <c r="W21" i="10"/>
  <c r="O21" i="10"/>
  <c r="H21" i="10"/>
  <c r="AD20" i="10"/>
  <c r="W20" i="10"/>
  <c r="O20" i="10"/>
  <c r="H20" i="10"/>
  <c r="W19" i="10"/>
  <c r="O19" i="10"/>
  <c r="H19" i="10"/>
  <c r="AD15" i="10"/>
  <c r="W15" i="10"/>
  <c r="O15" i="10"/>
  <c r="H15" i="10"/>
  <c r="AD14" i="10"/>
  <c r="W14" i="10"/>
  <c r="O14" i="10"/>
  <c r="H14" i="10"/>
  <c r="AD13" i="10"/>
  <c r="W13" i="10"/>
  <c r="O13" i="10"/>
  <c r="H13" i="10"/>
  <c r="AD12" i="10"/>
  <c r="AD17" i="10" s="1"/>
  <c r="W12" i="10"/>
  <c r="W17" i="10" s="1"/>
  <c r="O12" i="10"/>
  <c r="O17" i="10" s="1"/>
  <c r="H12" i="10"/>
  <c r="AD8" i="10"/>
  <c r="W8" i="10"/>
  <c r="O8" i="10"/>
  <c r="H8" i="10"/>
  <c r="AD7" i="10"/>
  <c r="W7" i="10"/>
  <c r="O7" i="10"/>
  <c r="H7" i="10"/>
  <c r="AD6" i="10"/>
  <c r="W6" i="10"/>
  <c r="O6" i="10"/>
  <c r="H6" i="10"/>
  <c r="AD5" i="10"/>
  <c r="W5" i="10"/>
  <c r="O5" i="10"/>
  <c r="H5" i="10"/>
  <c r="T24" i="11" l="1"/>
  <c r="T33" i="11"/>
  <c r="T49" i="11"/>
  <c r="T58" i="11"/>
  <c r="T67" i="11"/>
  <c r="T76" i="11"/>
  <c r="N21" i="19"/>
  <c r="W45" i="10"/>
  <c r="W52" i="10"/>
  <c r="W24" i="10"/>
  <c r="AD24" i="10"/>
  <c r="J6" i="11"/>
  <c r="I43" i="11"/>
  <c r="J58" i="11"/>
  <c r="J76" i="11"/>
  <c r="S83" i="11"/>
  <c r="S82" i="11"/>
  <c r="N41" i="19"/>
  <c r="H24" i="10"/>
  <c r="H31" i="10"/>
  <c r="AB22" i="19"/>
  <c r="N59" i="19"/>
  <c r="AB41" i="19"/>
  <c r="O10" i="10"/>
  <c r="W31" i="10"/>
  <c r="W10" i="10"/>
  <c r="AD31" i="10"/>
  <c r="H10" i="10"/>
  <c r="AD10" i="10"/>
  <c r="H38" i="10"/>
  <c r="W66" i="10"/>
  <c r="J18" i="11"/>
  <c r="J36" i="11"/>
  <c r="S43" i="11"/>
  <c r="J52" i="11"/>
  <c r="J70" i="11"/>
  <c r="O24" i="10"/>
  <c r="O23" i="10"/>
  <c r="H17" i="10"/>
  <c r="O31" i="10"/>
  <c r="O38" i="10"/>
  <c r="T9" i="11"/>
  <c r="T18" i="11"/>
  <c r="T27" i="11"/>
  <c r="T36" i="11"/>
  <c r="T61" i="11"/>
  <c r="T70" i="11"/>
  <c r="AB40" i="19"/>
  <c r="AB21" i="19"/>
  <c r="N40" i="19"/>
  <c r="T79" i="11"/>
  <c r="H58" i="10"/>
  <c r="AD23" i="10"/>
  <c r="O30" i="10"/>
  <c r="J33" i="11"/>
  <c r="J67" i="11"/>
  <c r="AD30" i="10"/>
  <c r="J15" i="11"/>
  <c r="W65" i="10"/>
  <c r="H37" i="10"/>
  <c r="O16" i="10"/>
  <c r="O37" i="10"/>
  <c r="H30" i="10"/>
  <c r="W30" i="10"/>
  <c r="W37" i="10"/>
  <c r="J9" i="11"/>
  <c r="J27" i="11"/>
  <c r="J61" i="11"/>
  <c r="J79" i="11"/>
  <c r="W16" i="10"/>
  <c r="AD16" i="10"/>
  <c r="AD37" i="10"/>
  <c r="H16" i="10"/>
  <c r="H51" i="10"/>
  <c r="W72" i="10"/>
  <c r="I82" i="11"/>
  <c r="H44" i="10"/>
  <c r="O44" i="10"/>
  <c r="O51" i="10"/>
  <c r="W58" i="10"/>
  <c r="T12" i="11"/>
  <c r="T21" i="11"/>
  <c r="T30" i="11"/>
  <c r="T39" i="11"/>
  <c r="T46" i="11"/>
  <c r="T55" i="11"/>
  <c r="T64" i="11"/>
  <c r="T73" i="11"/>
  <c r="I42" i="11"/>
  <c r="J49" i="11"/>
  <c r="H23" i="10"/>
  <c r="W23" i="10"/>
  <c r="W44" i="10"/>
  <c r="W51" i="10"/>
  <c r="J21" i="11"/>
  <c r="J39" i="11"/>
  <c r="J55" i="11"/>
  <c r="J73" i="11"/>
  <c r="O9" i="10"/>
  <c r="H9" i="10"/>
  <c r="W9" i="10"/>
  <c r="AD9" i="10"/>
</calcChain>
</file>

<file path=xl/sharedStrings.xml><?xml version="1.0" encoding="utf-8"?>
<sst xmlns="http://schemas.openxmlformats.org/spreadsheetml/2006/main" count="3726" uniqueCount="273">
  <si>
    <t xml:space="preserve">Central cornea nerve density measurements </t>
  </si>
  <si>
    <t xml:space="preserve">5 week timepoint </t>
  </si>
  <si>
    <t xml:space="preserve">10 week timepoint </t>
  </si>
  <si>
    <t xml:space="preserve">15week timepoint </t>
  </si>
  <si>
    <t>Normal Diet</t>
  </si>
  <si>
    <t>No1</t>
  </si>
  <si>
    <t>No2</t>
  </si>
  <si>
    <t>No3</t>
  </si>
  <si>
    <t>No4</t>
  </si>
  <si>
    <t>SEM</t>
  </si>
  <si>
    <t xml:space="preserve">High Fat Diet </t>
  </si>
  <si>
    <t xml:space="preserve">High fat diet </t>
  </si>
  <si>
    <t>Diet Reversal (Fig 2)</t>
  </si>
  <si>
    <t>Number of vertical nerve branches in the central cornea</t>
  </si>
  <si>
    <t>No5</t>
  </si>
  <si>
    <t>No6</t>
  </si>
  <si>
    <t>Aesthesiometry measurements - pressure required to elicit a blink</t>
  </si>
  <si>
    <t xml:space="preserve">15 week timepoint </t>
  </si>
  <si>
    <r>
      <t>Pressure g/mm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 xml:space="preserve"> (avg R+L eyes)</t>
    </r>
  </si>
  <si>
    <t>No7</t>
  </si>
  <si>
    <t>average</t>
  </si>
  <si>
    <t>No8</t>
  </si>
  <si>
    <t>STDV</t>
  </si>
  <si>
    <t>No9</t>
  </si>
  <si>
    <t>No10</t>
  </si>
  <si>
    <t>High Fat Diet</t>
  </si>
  <si>
    <t>No11</t>
  </si>
  <si>
    <t>No12</t>
  </si>
  <si>
    <t>No13</t>
  </si>
  <si>
    <t>Weight (grams)</t>
  </si>
  <si>
    <t>No14</t>
  </si>
  <si>
    <t>No15</t>
  </si>
  <si>
    <t>No16</t>
  </si>
  <si>
    <t>No17</t>
  </si>
  <si>
    <t>No18</t>
  </si>
  <si>
    <t>pg/ml</t>
  </si>
  <si>
    <t>Diet Reversal</t>
  </si>
  <si>
    <t>IL-12p40</t>
  </si>
  <si>
    <t>IL-10</t>
  </si>
  <si>
    <t>IL-1A</t>
  </si>
  <si>
    <t>LIF</t>
  </si>
  <si>
    <t>IL-6</t>
  </si>
  <si>
    <t>CCL2/MCP-1</t>
  </si>
  <si>
    <t>CXCL2/MIP-2</t>
  </si>
  <si>
    <t>CXCL9/MIG</t>
  </si>
  <si>
    <t>G-CSF</t>
  </si>
  <si>
    <t>CXCL1/KC</t>
  </si>
  <si>
    <t>GM-CSF</t>
  </si>
  <si>
    <t>IL-1β</t>
  </si>
  <si>
    <t>VEGF</t>
  </si>
  <si>
    <t xml:space="preserve">10 day timepoint </t>
  </si>
  <si>
    <t xml:space="preserve">Mouse </t>
  </si>
  <si>
    <t>quadrant 1</t>
  </si>
  <si>
    <t>quadrant 2</t>
  </si>
  <si>
    <t>quadrant 3</t>
  </si>
  <si>
    <t>quadrant 4</t>
  </si>
  <si>
    <t>Average</t>
  </si>
  <si>
    <t>6am - ZT 0</t>
  </si>
  <si>
    <t>21PM - 9pm - ZT 15</t>
  </si>
  <si>
    <t>10pm - ZT 16</t>
  </si>
  <si>
    <t>7am - ZT 1</t>
  </si>
  <si>
    <t>24PM -12am-ZT 18</t>
  </si>
  <si>
    <t>12am-ZT 18</t>
  </si>
  <si>
    <t>10am - ZT 4</t>
  </si>
  <si>
    <t>1am - ZT 19</t>
  </si>
  <si>
    <t>9am - ZT 3</t>
  </si>
  <si>
    <t>11am - ZT 5</t>
  </si>
  <si>
    <t>2am - ZT 20</t>
  </si>
  <si>
    <t>12pm - ZT 6</t>
  </si>
  <si>
    <t>3am - ZT 21</t>
  </si>
  <si>
    <t>2pm - ZT 8</t>
  </si>
  <si>
    <t>4am - ZT 22</t>
  </si>
  <si>
    <t>1pm - ZT 7</t>
  </si>
  <si>
    <t>4pm - ZT 10</t>
  </si>
  <si>
    <t>5am - ZT 23</t>
  </si>
  <si>
    <t>3pm - ZT 9</t>
  </si>
  <si>
    <t>4pm -ZT10</t>
  </si>
  <si>
    <t>5pm -ZT11</t>
  </si>
  <si>
    <t>7pm- ZT13</t>
  </si>
  <si>
    <t>counting area</t>
  </si>
  <si>
    <t>cornea 1</t>
  </si>
  <si>
    <t>cornea 2</t>
  </si>
  <si>
    <t>cornea 3</t>
  </si>
  <si>
    <t>cornea 4</t>
  </si>
  <si>
    <t>Average of ZT</t>
  </si>
  <si>
    <t>horizontal line</t>
  </si>
  <si>
    <t xml:space="preserve">ZT Time </t>
  </si>
  <si>
    <t xml:space="preserve">Time </t>
  </si>
  <si>
    <t>Average # cells</t>
  </si>
  <si>
    <t>vertical line</t>
  </si>
  <si>
    <t>CT6 - 6am</t>
  </si>
  <si>
    <t>CT7 -7am</t>
  </si>
  <si>
    <t>CT8 -8am</t>
  </si>
  <si>
    <t>CT9 - 9am</t>
  </si>
  <si>
    <t>8am - ZT 2</t>
  </si>
  <si>
    <t>CT10 -10am</t>
  </si>
  <si>
    <t>CT11 -11am</t>
  </si>
  <si>
    <t>CT12 -12pm</t>
  </si>
  <si>
    <t>CT13 -1pm</t>
  </si>
  <si>
    <t>CT14 -2pm</t>
  </si>
  <si>
    <t>CT15 -3pm</t>
  </si>
  <si>
    <t>10am - ZT-4</t>
  </si>
  <si>
    <t>CT16 - 4pm</t>
  </si>
  <si>
    <t>CT17 -5pm</t>
  </si>
  <si>
    <t>CT18 -6pm</t>
  </si>
  <si>
    <t>CT19 -7pm</t>
  </si>
  <si>
    <t>CT20 -8pm</t>
  </si>
  <si>
    <t>CT21 -9pm</t>
  </si>
  <si>
    <t>CT22 -10pm</t>
  </si>
  <si>
    <t>CT23 -11pm</t>
  </si>
  <si>
    <t>CT24 -12am</t>
  </si>
  <si>
    <t>CT1 -1am</t>
  </si>
  <si>
    <t>CT2-2am</t>
  </si>
  <si>
    <t>CT3-3am</t>
  </si>
  <si>
    <t>CT4-4am</t>
  </si>
  <si>
    <t>CT5-5am</t>
  </si>
  <si>
    <t>5pm - ZT 11</t>
  </si>
  <si>
    <t>Sum-C1</t>
  </si>
  <si>
    <t>Sum - C2</t>
  </si>
  <si>
    <t>Sum - C3</t>
  </si>
  <si>
    <t xml:space="preserve">Sum- C4 </t>
  </si>
  <si>
    <t>6pm - ZT 12</t>
  </si>
  <si>
    <t>7pm - ZT 13</t>
  </si>
  <si>
    <t>8pm - ZT 14</t>
  </si>
  <si>
    <t>9pm - ZT 15</t>
  </si>
  <si>
    <t>10pm - ZT-16</t>
  </si>
  <si>
    <t>11pm - ZT 17</t>
  </si>
  <si>
    <t>12am - ZT 18</t>
  </si>
  <si>
    <t xml:space="preserve">Pooled Sample </t>
  </si>
  <si>
    <t>ZT 0</t>
  </si>
  <si>
    <t>ZT 4</t>
  </si>
  <si>
    <t>ZT 8</t>
  </si>
  <si>
    <t>ZT 12</t>
  </si>
  <si>
    <t>ZT 16</t>
  </si>
  <si>
    <t>ZT 20</t>
  </si>
  <si>
    <t xml:space="preserve">Summary </t>
  </si>
  <si>
    <t>avg*1000</t>
  </si>
  <si>
    <t>limbus</t>
  </si>
  <si>
    <t>peripheral</t>
  </si>
  <si>
    <t>paracentral</t>
  </si>
  <si>
    <t>central</t>
  </si>
  <si>
    <t xml:space="preserve">limbus </t>
  </si>
  <si>
    <t>Sum  across cornea</t>
  </si>
  <si>
    <t>Field 1</t>
  </si>
  <si>
    <t>Field 2</t>
  </si>
  <si>
    <t>Field 3</t>
  </si>
  <si>
    <t>Field 4</t>
  </si>
  <si>
    <t>Field 5</t>
  </si>
  <si>
    <t>Field 6</t>
  </si>
  <si>
    <t>Field 7</t>
  </si>
  <si>
    <t>Field 8</t>
  </si>
  <si>
    <t>Number of dividing epithelial cells post-corneal abrasion; Wounding time 12pm CST; 2 rows of 9 fields of view, perpendicular across cornea</t>
  </si>
  <si>
    <t xml:space="preserve">Normal Diet </t>
  </si>
  <si>
    <t>12h post-abrasion</t>
  </si>
  <si>
    <t>cornea</t>
  </si>
  <si>
    <t>horizontal</t>
  </si>
  <si>
    <t>vertical</t>
  </si>
  <si>
    <t>18h post-abrasion</t>
  </si>
  <si>
    <t>24h post-abrasion</t>
  </si>
  <si>
    <t>30h post-abrasion</t>
  </si>
  <si>
    <t xml:space="preserve">Area of epithelial wound following a central corneal abrasion </t>
  </si>
  <si>
    <t xml:space="preserve">Number of pixels </t>
  </si>
  <si>
    <t>Percentage</t>
  </si>
  <si>
    <t>18h                       post-abrasion</t>
  </si>
  <si>
    <t>24h                       post-abrasion</t>
  </si>
  <si>
    <t>30h                       post-abrasion</t>
  </si>
  <si>
    <t>N07</t>
  </si>
  <si>
    <t>ND</t>
  </si>
  <si>
    <t>HFD</t>
  </si>
  <si>
    <t>P1</t>
  </si>
  <si>
    <t>P2</t>
  </si>
  <si>
    <t>P3</t>
  </si>
  <si>
    <t>P4</t>
  </si>
  <si>
    <t>N/A</t>
  </si>
  <si>
    <t>body wt in g</t>
  </si>
  <si>
    <t>EAT/BW</t>
  </si>
  <si>
    <t>Lean mass</t>
  </si>
  <si>
    <t>fat mass</t>
  </si>
  <si>
    <t>Free water</t>
  </si>
  <si>
    <t>Total Water</t>
  </si>
  <si>
    <t>Glucose levels in mg/ DL</t>
  </si>
  <si>
    <t>Insulin concentration in ug/ml</t>
  </si>
  <si>
    <t>No19</t>
  </si>
  <si>
    <t>No20</t>
  </si>
  <si>
    <t>No21</t>
  </si>
  <si>
    <t>No22</t>
  </si>
  <si>
    <t>No23</t>
  </si>
  <si>
    <t>No24</t>
  </si>
  <si>
    <t>No25</t>
  </si>
  <si>
    <t>No26</t>
  </si>
  <si>
    <t>Body weight (g)</t>
  </si>
  <si>
    <t>AVERAGE</t>
  </si>
  <si>
    <t xml:space="preserve">SEM </t>
  </si>
  <si>
    <t>Fat Mass</t>
  </si>
  <si>
    <t>CD3+ (PE) cells/µl</t>
  </si>
  <si>
    <t>Ly6-G+ cells/µl</t>
  </si>
  <si>
    <t>CD41a+ cells/µl</t>
  </si>
  <si>
    <t>Weight of epididymal adipose tissue (eAT)</t>
  </si>
  <si>
    <t>eAT (g)</t>
  </si>
  <si>
    <t>Number of macrophages in eAT</t>
  </si>
  <si>
    <t>F480+ cells</t>
  </si>
  <si>
    <t>F480+ TNFa+ cells</t>
  </si>
  <si>
    <t>F480+ CD11c+ cells</t>
  </si>
  <si>
    <t>F480+ CD206+ cells</t>
  </si>
  <si>
    <t>STDV*1000</t>
  </si>
  <si>
    <t>average per cornea</t>
  </si>
  <si>
    <t xml:space="preserve">Number of NK cells summed across 9 vertical and 9 horizontal perpendicular fields across the cornea. The vertical + horizontal sums are averaged to give a single value for each cornea. </t>
  </si>
  <si>
    <t>Normal diet</t>
  </si>
  <si>
    <t xml:space="preserve">High Diet </t>
  </si>
  <si>
    <t>No abrasion</t>
  </si>
  <si>
    <t>Day time</t>
  </si>
  <si>
    <t>Night time</t>
  </si>
  <si>
    <t xml:space="preserve">Summary: dividing corneal epithelial cells over time </t>
  </si>
  <si>
    <t xml:space="preserve">Number of dividing corneal epithelial cells; vertical and horizontal sums given for each cornea; sums are averaged across 4 corneas to get a single value per time point (ZT) </t>
  </si>
  <si>
    <t>7pm -ZT13</t>
  </si>
  <si>
    <t xml:space="preserve">Diet Reversal </t>
  </si>
  <si>
    <t>Liver Wt in g</t>
  </si>
  <si>
    <t>EAT  wt in mg</t>
  </si>
  <si>
    <t xml:space="preserve">AVERAGE </t>
  </si>
  <si>
    <t>n=23(ND), n=26 (HFD)</t>
  </si>
  <si>
    <t>n=14 (ND), n=15 (HFD)</t>
  </si>
  <si>
    <t>n=23(ND), n=25 (HFD)</t>
  </si>
  <si>
    <t>n=10 (ND), n=10 (HFD)</t>
  </si>
  <si>
    <t xml:space="preserve"> 10 day timepoint</t>
  </si>
  <si>
    <t>Systemic changes after 10 days of HFD consumption (Table 1)</t>
  </si>
  <si>
    <t>Lean Mass</t>
  </si>
  <si>
    <t>Fasting glucose (mg/ DL)</t>
  </si>
  <si>
    <t>Fasting insulin (ug/mL)</t>
  </si>
  <si>
    <t>Liver weight (g)</t>
  </si>
  <si>
    <t>eAT weight (mg)</t>
  </si>
  <si>
    <t>Luminex reading</t>
  </si>
  <si>
    <t>Whole Corneas were pooled and homogenized, then probed for analytes using a Luminex assay</t>
  </si>
  <si>
    <t xml:space="preserve">Number of circulating cells in blood, tested using flow cytometry  </t>
  </si>
  <si>
    <t>Whole Corneas were cultured for 6h following excision; pooled and homogenized; probed for analytes using a Luminex assay</t>
  </si>
  <si>
    <t>Supernatant collected from the corneas cultured for 6h following excision; probed for analytes using a Luminex assay</t>
  </si>
  <si>
    <t>Cornea  Avg</t>
  </si>
  <si>
    <t>Average per cornea</t>
  </si>
  <si>
    <t>Field Avg</t>
  </si>
  <si>
    <t>Field Sum</t>
  </si>
  <si>
    <t>Central neutrophils, counted in 4 central fields and summed to give a single value per cornea; corneas averaged to give 1 value per time point</t>
  </si>
  <si>
    <t>Platelets, counted in 8 limbal fields (2 per "petal") and summed to give a single value per cornea; corneas averaged to give 1 value per time point</t>
  </si>
  <si>
    <t>Neutrophils (Gr-1+ cells) in limbus, sampled over 24h (40x field of view, each quadrant); quadrants averaged to give 1 value per cornea; corneas averaged to give 1 value per time point;  Zeitgeber time (ZT) 6am lights on, 6pm lights off</t>
  </si>
  <si>
    <t>Number of limbal neutrophils counted in limbal fields; averaged to give a single value per cornea; corneas averaged to give 1 value per time point</t>
  </si>
  <si>
    <t>Sum across cornea</t>
  </si>
  <si>
    <t xml:space="preserve">Summary of systemic changes for 10 day timepoint </t>
  </si>
  <si>
    <t>Night time Average</t>
  </si>
  <si>
    <t>Day time Average</t>
  </si>
  <si>
    <t>Rev-erbα mRNA expression, corneas from 6-8 mice, 2 pooled samples per time point</t>
  </si>
  <si>
    <t>0h                               (immediately after abrasion)</t>
  </si>
  <si>
    <t>0h                                                                       (immediately after abrasion)</t>
  </si>
  <si>
    <t>48h post-abrasion</t>
  </si>
  <si>
    <t>6h post-abrasion</t>
  </si>
  <si>
    <t>96h post-abrasion</t>
  </si>
  <si>
    <t>Central cornea nerve density measurements 96h post-abrasion</t>
  </si>
  <si>
    <t>Aesthesiometry measurements 96h post-abrasion - pressure required to elicit a blink</t>
  </si>
  <si>
    <t>Combined Subbasal + Epithelial length (µm)</t>
  </si>
  <si>
    <t>F480+ cells/µl</t>
  </si>
  <si>
    <r>
      <t>High Fat Diet, no abrasion (</t>
    </r>
    <r>
      <rPr>
        <b/>
        <sz val="11"/>
        <color theme="1"/>
        <rFont val="Calibri"/>
        <family val="2"/>
      </rPr>
      <t>µ</t>
    </r>
    <r>
      <rPr>
        <b/>
        <sz val="11"/>
        <color theme="1"/>
        <rFont val="Calibri"/>
        <family val="2"/>
        <scheme val="minor"/>
      </rPr>
      <t>m)</t>
    </r>
  </si>
  <si>
    <t>Normal Diet, no abrasion (µm)</t>
  </si>
  <si>
    <t>Normal Diet, 96h post-abrasion (µm)</t>
  </si>
  <si>
    <t>High Fat Diet, 96h post-abrasion (µm)</t>
  </si>
  <si>
    <t>Average (µm)</t>
  </si>
  <si>
    <t>Cornea</t>
  </si>
  <si>
    <t>Mouse</t>
  </si>
  <si>
    <t># of vertical nerve branches</t>
  </si>
  <si>
    <t>Number of gamma delta T cells counted following a corneal abrasion; summed across 9 vertical and 9 horizontal perpendicular fields across the cornea. The vertical + horizontal sums are averaged to give a single value for each cornea; corneas averaged to give 1 value per time point</t>
  </si>
  <si>
    <t>Epithelial thickness measurements in microns, before and 96h following a corneal abrasion</t>
  </si>
  <si>
    <t>Limbal venule diameter before and 18h following corneal abrasion; each corneal petal value is an average of measurements taken along venules in the limbus; the 4 petal valules are averaged to give a single value per cornea</t>
  </si>
  <si>
    <t>Nerve Density (total length, µm)</t>
  </si>
  <si>
    <t># Vertical nerve branches</t>
  </si>
  <si>
    <r>
      <t>Aesthesiometry (Pressure g/mm</t>
    </r>
    <r>
      <rPr>
        <b/>
        <vertAlign val="superscript"/>
        <sz val="11"/>
        <color theme="1"/>
        <rFont val="Calibri"/>
        <family val="2"/>
        <scheme val="minor"/>
      </rPr>
      <t>2</t>
    </r>
    <r>
      <rPr>
        <b/>
        <sz val="11"/>
        <color theme="1"/>
        <rFont val="Calibri"/>
        <family val="2"/>
        <scheme val="minor"/>
      </rPr>
      <t>)</t>
    </r>
  </si>
  <si>
    <t>Correlation plot values</t>
  </si>
  <si>
    <t>Body Weight 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</si>
</sst>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_ "/>
    <numFmt numFmtId="165" formatCode="0.000000"/>
  </numFmts>
  <fonts count="3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</font>
    <font>
      <b/>
      <sz val="1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</font>
    <font>
      <b/>
      <sz val="16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indexed="10"/>
      <name val="Arial"/>
      <family val="2"/>
    </font>
    <font>
      <b/>
      <sz val="20"/>
      <color rgb="FFFF0000"/>
      <name val="Calibri"/>
      <family val="2"/>
      <scheme val="minor"/>
    </font>
    <font>
      <b/>
      <u/>
      <sz val="11"/>
      <name val="Calibri"/>
      <family val="2"/>
      <scheme val="minor"/>
    </font>
    <font>
      <u/>
      <sz val="11"/>
      <color rgb="FFFF0000"/>
      <name val="Calibri"/>
      <family val="2"/>
      <scheme val="minor"/>
    </font>
    <font>
      <b/>
      <sz val="11"/>
      <color theme="8"/>
      <name val="Calibri"/>
      <family val="2"/>
      <scheme val="minor"/>
    </font>
    <font>
      <sz val="11"/>
      <color theme="6" tint="-0.249977111117893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1"/>
      <color theme="4"/>
      <name val="Calibri"/>
      <family val="2"/>
      <scheme val="minor"/>
    </font>
    <font>
      <sz val="11"/>
      <color theme="7"/>
      <name val="Calibri"/>
      <family val="2"/>
      <scheme val="minor"/>
    </font>
    <font>
      <sz val="11"/>
      <color theme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7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5" fillId="0" borderId="0"/>
  </cellStyleXfs>
  <cellXfs count="466">
    <xf numFmtId="0" fontId="0" fillId="0" borderId="0" xfId="0"/>
    <xf numFmtId="0" fontId="0" fillId="0" borderId="0" xfId="0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5" xfId="0" applyFon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/>
    </xf>
    <xf numFmtId="2" fontId="2" fillId="4" borderId="8" xfId="0" applyNumberFormat="1" applyFont="1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2" fontId="2" fillId="4" borderId="1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2" fontId="7" fillId="4" borderId="11" xfId="0" applyNumberFormat="1" applyFont="1" applyFill="1" applyBorder="1" applyAlignment="1">
      <alignment horizontal="center" vertical="center"/>
    </xf>
    <xf numFmtId="2" fontId="7" fillId="4" borderId="8" xfId="0" applyNumberFormat="1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left"/>
    </xf>
    <xf numFmtId="0" fontId="2" fillId="0" borderId="0" xfId="0" applyFont="1" applyAlignment="1">
      <alignment horizontal="left" vertical="center"/>
    </xf>
    <xf numFmtId="0" fontId="10" fillId="6" borderId="5" xfId="0" applyFont="1" applyFill="1" applyBorder="1" applyAlignment="1">
      <alignment horizontal="center"/>
    </xf>
    <xf numFmtId="0" fontId="10" fillId="6" borderId="0" xfId="0" applyFont="1" applyFill="1" applyBorder="1" applyAlignment="1">
      <alignment horizontal="center"/>
    </xf>
    <xf numFmtId="0" fontId="10" fillId="6" borderId="8" xfId="0" applyFont="1" applyFill="1" applyBorder="1" applyAlignment="1">
      <alignment horizontal="center"/>
    </xf>
    <xf numFmtId="0" fontId="10" fillId="6" borderId="11" xfId="0" applyFont="1" applyFill="1" applyBorder="1" applyAlignment="1">
      <alignment horizontal="center"/>
    </xf>
    <xf numFmtId="0" fontId="0" fillId="0" borderId="0" xfId="0" applyFont="1"/>
    <xf numFmtId="0" fontId="0" fillId="0" borderId="0" xfId="0" applyFont="1" applyAlignment="1">
      <alignment horizontal="center" vertical="center"/>
    </xf>
    <xf numFmtId="2" fontId="0" fillId="0" borderId="0" xfId="0" applyNumberFormat="1" applyFont="1" applyAlignment="1">
      <alignment horizontal="center" vertical="center"/>
    </xf>
    <xf numFmtId="0" fontId="11" fillId="4" borderId="8" xfId="0" applyFont="1" applyFill="1" applyBorder="1" applyAlignment="1">
      <alignment horizontal="center" vertical="center"/>
    </xf>
    <xf numFmtId="0" fontId="0" fillId="4" borderId="7" xfId="0" applyFont="1" applyFill="1" applyBorder="1" applyAlignment="1">
      <alignment horizontal="center" vertical="center"/>
    </xf>
    <xf numFmtId="0" fontId="0" fillId="4" borderId="8" xfId="0" applyFont="1" applyFill="1" applyBorder="1" applyAlignment="1">
      <alignment horizontal="center" vertical="center"/>
    </xf>
    <xf numFmtId="0" fontId="11" fillId="4" borderId="6" xfId="0" applyFont="1" applyFill="1" applyBorder="1" applyAlignment="1">
      <alignment horizontal="center" vertical="center"/>
    </xf>
    <xf numFmtId="0" fontId="0" fillId="4" borderId="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0" xfId="0" applyBorder="1"/>
    <xf numFmtId="0" fontId="2" fillId="3" borderId="2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0" xfId="0" applyFont="1" applyFill="1" applyBorder="1" applyAlignment="1">
      <alignment horizontal="center" vertical="center"/>
    </xf>
    <xf numFmtId="0" fontId="11" fillId="4" borderId="7" xfId="0" applyFont="1" applyFill="1" applyBorder="1" applyAlignment="1">
      <alignment horizontal="center" vertical="center"/>
    </xf>
    <xf numFmtId="2" fontId="2" fillId="4" borderId="0" xfId="0" applyNumberFormat="1" applyFont="1" applyFill="1" applyBorder="1" applyAlignment="1">
      <alignment horizontal="center" vertical="center"/>
    </xf>
    <xf numFmtId="2" fontId="2" fillId="4" borderId="10" xfId="0" applyNumberFormat="1" applyFont="1" applyFill="1" applyBorder="1" applyAlignment="1">
      <alignment horizontal="center" vertical="center"/>
    </xf>
    <xf numFmtId="0" fontId="7" fillId="0" borderId="0" xfId="0" applyFont="1" applyBorder="1"/>
    <xf numFmtId="0" fontId="3" fillId="0" borderId="0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1" fillId="0" borderId="0" xfId="0" applyFont="1" applyBorder="1"/>
    <xf numFmtId="0" fontId="15" fillId="0" borderId="0" xfId="0" applyFont="1"/>
    <xf numFmtId="0" fontId="2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16" fillId="0" borderId="0" xfId="0" applyFont="1"/>
    <xf numFmtId="0" fontId="7" fillId="3" borderId="1" xfId="0" applyFont="1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11" fillId="4" borderId="0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2" fontId="0" fillId="4" borderId="0" xfId="0" applyNumberForma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4" borderId="5" xfId="1" applyFont="1" applyFill="1" applyBorder="1" applyAlignment="1">
      <alignment horizontal="center" vertical="center"/>
    </xf>
    <xf numFmtId="0" fontId="19" fillId="4" borderId="6" xfId="1" applyFont="1" applyFill="1" applyBorder="1" applyAlignment="1">
      <alignment horizontal="center" vertical="center"/>
    </xf>
    <xf numFmtId="0" fontId="19" fillId="4" borderId="0" xfId="1" applyFont="1" applyFill="1" applyBorder="1" applyAlignment="1">
      <alignment horizontal="center" vertical="center"/>
    </xf>
    <xf numFmtId="0" fontId="19" fillId="4" borderId="8" xfId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0" fontId="20" fillId="0" borderId="0" xfId="0" applyFont="1"/>
    <xf numFmtId="0" fontId="14" fillId="0" borderId="0" xfId="0" applyFont="1"/>
    <xf numFmtId="0" fontId="21" fillId="0" borderId="0" xfId="0" applyFont="1"/>
    <xf numFmtId="0" fontId="5" fillId="0" borderId="0" xfId="1"/>
    <xf numFmtId="14" fontId="5" fillId="0" borderId="0" xfId="1" applyNumberFormat="1"/>
    <xf numFmtId="0" fontId="22" fillId="0" borderId="0" xfId="1" applyFont="1"/>
    <xf numFmtId="0" fontId="11" fillId="4" borderId="5" xfId="0" applyFon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3" fillId="0" borderId="0" xfId="0" applyFont="1"/>
    <xf numFmtId="0" fontId="18" fillId="0" borderId="0" xfId="0" applyFont="1"/>
    <xf numFmtId="0" fontId="8" fillId="0" borderId="0" xfId="0" applyFont="1"/>
    <xf numFmtId="0" fontId="7" fillId="3" borderId="21" xfId="0" applyFont="1" applyFill="1" applyBorder="1"/>
    <xf numFmtId="0" fontId="2" fillId="3" borderId="22" xfId="0" applyFont="1" applyFill="1" applyBorder="1" applyAlignment="1">
      <alignment horizontal="center"/>
    </xf>
    <xf numFmtId="0" fontId="7" fillId="4" borderId="24" xfId="0" applyFont="1" applyFill="1" applyBorder="1"/>
    <xf numFmtId="0" fontId="0" fillId="4" borderId="5" xfId="0" applyFont="1" applyFill="1" applyBorder="1" applyAlignment="1">
      <alignment horizontal="center"/>
    </xf>
    <xf numFmtId="0" fontId="7" fillId="4" borderId="16" xfId="0" applyFont="1" applyFill="1" applyBorder="1"/>
    <xf numFmtId="0" fontId="0" fillId="4" borderId="0" xfId="0" applyFont="1" applyFill="1" applyBorder="1" applyAlignment="1">
      <alignment horizontal="center"/>
    </xf>
    <xf numFmtId="0" fontId="0" fillId="4" borderId="10" xfId="0" applyFont="1" applyFill="1" applyBorder="1" applyAlignment="1">
      <alignment horizontal="center"/>
    </xf>
    <xf numFmtId="0" fontId="2" fillId="4" borderId="0" xfId="0" applyFont="1" applyFill="1" applyBorder="1" applyAlignment="1">
      <alignment horizontal="center"/>
    </xf>
    <xf numFmtId="0" fontId="2" fillId="4" borderId="0" xfId="0" applyFont="1" applyFill="1" applyBorder="1" applyAlignment="1">
      <alignment horizontal="center" wrapText="1"/>
    </xf>
    <xf numFmtId="0" fontId="2" fillId="4" borderId="0" xfId="0" applyFont="1" applyFill="1" applyBorder="1" applyAlignment="1">
      <alignment horizontal="right"/>
    </xf>
    <xf numFmtId="0" fontId="2" fillId="4" borderId="19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 wrapText="1"/>
    </xf>
    <xf numFmtId="0" fontId="11" fillId="0" borderId="0" xfId="0" applyFont="1" applyFill="1" applyBorder="1" applyAlignment="1">
      <alignment horizontal="center" vertical="center"/>
    </xf>
    <xf numFmtId="0" fontId="12" fillId="0" borderId="0" xfId="0" applyFont="1" applyBorder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17" fillId="0" borderId="0" xfId="0" applyFont="1" applyBorder="1"/>
    <xf numFmtId="0" fontId="4" fillId="2" borderId="0" xfId="0" applyFont="1" applyFill="1" applyAlignment="1">
      <alignment horizontal="left" vertical="center"/>
    </xf>
    <xf numFmtId="2" fontId="0" fillId="4" borderId="0" xfId="0" applyNumberFormat="1" applyFont="1" applyFill="1" applyBorder="1" applyAlignment="1">
      <alignment horizontal="center" vertical="center"/>
    </xf>
    <xf numFmtId="2" fontId="0" fillId="4" borderId="5" xfId="0" applyNumberFormat="1" applyFont="1" applyFill="1" applyBorder="1" applyAlignment="1">
      <alignment horizontal="center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Border="1" applyAlignment="1">
      <alignment horizontal="center" vertical="center"/>
    </xf>
    <xf numFmtId="2" fontId="2" fillId="0" borderId="8" xfId="0" applyNumberFormat="1" applyFont="1" applyFill="1" applyBorder="1" applyAlignment="1">
      <alignment horizontal="center" vertical="center"/>
    </xf>
    <xf numFmtId="0" fontId="0" fillId="0" borderId="0" xfId="0"/>
    <xf numFmtId="0" fontId="3" fillId="0" borderId="0" xfId="0" applyFont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2" fontId="2" fillId="4" borderId="12" xfId="0" applyNumberFormat="1" applyFont="1" applyFill="1" applyBorder="1" applyAlignment="1">
      <alignment horizontal="center" vertical="center"/>
    </xf>
    <xf numFmtId="2" fontId="2" fillId="4" borderId="14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left" vertical="center"/>
    </xf>
    <xf numFmtId="2" fontId="2" fillId="4" borderId="7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4" borderId="16" xfId="0" applyFont="1" applyFill="1" applyBorder="1" applyAlignment="1">
      <alignment horizontal="center"/>
    </xf>
    <xf numFmtId="0" fontId="0" fillId="4" borderId="0" xfId="0" applyFont="1" applyFill="1" applyBorder="1" applyAlignment="1">
      <alignment horizontal="right"/>
    </xf>
    <xf numFmtId="0" fontId="2" fillId="3" borderId="2" xfId="0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horizontal="right" vertical="center"/>
    </xf>
    <xf numFmtId="0" fontId="0" fillId="4" borderId="5" xfId="0" applyFont="1" applyFill="1" applyBorder="1" applyAlignment="1">
      <alignment horizontal="right"/>
    </xf>
    <xf numFmtId="0" fontId="7" fillId="3" borderId="31" xfId="0" applyFont="1" applyFill="1" applyBorder="1"/>
    <xf numFmtId="0" fontId="7" fillId="0" borderId="0" xfId="0" applyFont="1" applyFill="1" applyBorder="1"/>
    <xf numFmtId="0" fontId="2" fillId="3" borderId="22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/>
    </xf>
    <xf numFmtId="2" fontId="7" fillId="4" borderId="0" xfId="0" applyNumberFormat="1" applyFont="1" applyFill="1" applyBorder="1" applyAlignment="1">
      <alignment horizontal="center" vertical="center"/>
    </xf>
    <xf numFmtId="2" fontId="2" fillId="4" borderId="17" xfId="0" applyNumberFormat="1" applyFont="1" applyFill="1" applyBorder="1" applyAlignment="1">
      <alignment horizontal="center" vertical="center"/>
    </xf>
    <xf numFmtId="2" fontId="2" fillId="4" borderId="19" xfId="0" applyNumberFormat="1" applyFont="1" applyFill="1" applyBorder="1" applyAlignment="1">
      <alignment horizontal="center" vertical="center"/>
    </xf>
    <xf numFmtId="2" fontId="2" fillId="4" borderId="20" xfId="0" applyNumberFormat="1" applyFont="1" applyFill="1" applyBorder="1" applyAlignment="1">
      <alignment horizontal="center" vertical="center"/>
    </xf>
    <xf numFmtId="2" fontId="0" fillId="4" borderId="5" xfId="0" applyNumberFormat="1" applyFont="1" applyFill="1" applyBorder="1" applyAlignment="1">
      <alignment horizontal="center"/>
    </xf>
    <xf numFmtId="2" fontId="0" fillId="4" borderId="6" xfId="0" applyNumberFormat="1" applyFont="1" applyFill="1" applyBorder="1" applyAlignment="1">
      <alignment horizontal="center"/>
    </xf>
    <xf numFmtId="2" fontId="0" fillId="4" borderId="0" xfId="0" applyNumberFormat="1" applyFont="1" applyFill="1" applyBorder="1" applyAlignment="1">
      <alignment horizontal="center"/>
    </xf>
    <xf numFmtId="2" fontId="0" fillId="4" borderId="8" xfId="0" applyNumberFormat="1" applyFont="1" applyFill="1" applyBorder="1" applyAlignment="1">
      <alignment horizontal="center"/>
    </xf>
    <xf numFmtId="2" fontId="7" fillId="4" borderId="17" xfId="0" applyNumberFormat="1" applyFont="1" applyFill="1" applyBorder="1" applyAlignment="1">
      <alignment horizontal="center" wrapText="1"/>
    </xf>
    <xf numFmtId="2" fontId="2" fillId="0" borderId="0" xfId="0" applyNumberFormat="1" applyFont="1" applyFill="1" applyBorder="1" applyAlignment="1">
      <alignment horizontal="center" vertical="center"/>
    </xf>
    <xf numFmtId="2" fontId="2" fillId="3" borderId="37" xfId="0" applyNumberFormat="1" applyFont="1" applyFill="1" applyBorder="1" applyAlignment="1">
      <alignment horizontal="center" wrapText="1"/>
    </xf>
    <xf numFmtId="2" fontId="2" fillId="4" borderId="16" xfId="0" applyNumberFormat="1" applyFont="1" applyFill="1" applyBorder="1" applyAlignment="1">
      <alignment horizontal="center" vertical="center"/>
    </xf>
    <xf numFmtId="2" fontId="2" fillId="4" borderId="24" xfId="0" applyNumberFormat="1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vertical="center"/>
    </xf>
    <xf numFmtId="0" fontId="7" fillId="4" borderId="10" xfId="0" applyFont="1" applyFill="1" applyBorder="1" applyAlignment="1">
      <alignment vertical="center"/>
    </xf>
    <xf numFmtId="0" fontId="2" fillId="4" borderId="11" xfId="0" applyFont="1" applyFill="1" applyBorder="1" applyAlignment="1">
      <alignment vertical="center"/>
    </xf>
    <xf numFmtId="0" fontId="2" fillId="3" borderId="38" xfId="0" applyFont="1" applyFill="1" applyBorder="1" applyAlignment="1">
      <alignment horizontal="center" vertical="center"/>
    </xf>
    <xf numFmtId="0" fontId="7" fillId="3" borderId="39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/>
    </xf>
    <xf numFmtId="0" fontId="2" fillId="3" borderId="37" xfId="0" applyFont="1" applyFill="1" applyBorder="1" applyAlignment="1">
      <alignment horizontal="center" vertical="center" wrapText="1"/>
    </xf>
    <xf numFmtId="0" fontId="11" fillId="4" borderId="26" xfId="0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2" fontId="11" fillId="4" borderId="8" xfId="0" applyNumberFormat="1" applyFont="1" applyFill="1" applyBorder="1" applyAlignment="1">
      <alignment horizontal="center" vertical="center"/>
    </xf>
    <xf numFmtId="0" fontId="10" fillId="7" borderId="0" xfId="0" applyFont="1" applyFill="1" applyBorder="1" applyAlignment="1">
      <alignment horizontal="center"/>
    </xf>
    <xf numFmtId="0" fontId="0" fillId="0" borderId="0" xfId="0" applyFont="1" applyFill="1" applyAlignment="1">
      <alignment horizontal="center" vertical="center"/>
    </xf>
    <xf numFmtId="14" fontId="0" fillId="4" borderId="5" xfId="0" applyNumberFormat="1" applyFont="1" applyFill="1" applyBorder="1" applyAlignment="1">
      <alignment horizontal="center" vertical="center"/>
    </xf>
    <xf numFmtId="0" fontId="0" fillId="4" borderId="6" xfId="0" applyFont="1" applyFill="1" applyBorder="1" applyAlignment="1">
      <alignment horizontal="center" vertical="center"/>
    </xf>
    <xf numFmtId="14" fontId="0" fillId="4" borderId="0" xfId="0" applyNumberFormat="1" applyFont="1" applyFill="1" applyBorder="1" applyAlignment="1">
      <alignment horizontal="center" vertical="center"/>
    </xf>
    <xf numFmtId="0" fontId="0" fillId="4" borderId="9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3" fillId="0" borderId="0" xfId="0" applyFont="1" applyBorder="1"/>
    <xf numFmtId="0" fontId="1" fillId="0" borderId="0" xfId="0" applyFont="1" applyBorder="1"/>
    <xf numFmtId="0" fontId="2" fillId="0" borderId="0" xfId="0" applyFont="1" applyBorder="1"/>
    <xf numFmtId="2" fontId="2" fillId="4" borderId="0" xfId="0" applyNumberFormat="1" applyFont="1" applyFill="1" applyBorder="1" applyAlignment="1">
      <alignment horizontal="center"/>
    </xf>
    <xf numFmtId="2" fontId="2" fillId="4" borderId="8" xfId="0" applyNumberFormat="1" applyFont="1" applyFill="1" applyBorder="1" applyAlignment="1">
      <alignment horizontal="center"/>
    </xf>
    <xf numFmtId="2" fontId="2" fillId="4" borderId="10" xfId="0" applyNumberFormat="1" applyFont="1" applyFill="1" applyBorder="1" applyAlignment="1">
      <alignment horizontal="center"/>
    </xf>
    <xf numFmtId="2" fontId="2" fillId="4" borderId="11" xfId="0" applyNumberFormat="1" applyFont="1" applyFill="1" applyBorder="1" applyAlignment="1">
      <alignment horizontal="center"/>
    </xf>
    <xf numFmtId="2" fontId="2" fillId="0" borderId="0" xfId="0" applyNumberFormat="1" applyFont="1" applyFill="1" applyBorder="1" applyAlignment="1">
      <alignment horizontal="right"/>
    </xf>
    <xf numFmtId="2" fontId="2" fillId="0" borderId="0" xfId="0" applyNumberFormat="1" applyFont="1" applyFill="1" applyBorder="1" applyAlignment="1">
      <alignment horizontal="center"/>
    </xf>
    <xf numFmtId="2" fontId="11" fillId="4" borderId="8" xfId="0" applyNumberFormat="1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Fill="1"/>
    <xf numFmtId="2" fontId="11" fillId="0" borderId="0" xfId="0" applyNumberFormat="1" applyFont="1" applyFill="1" applyBorder="1" applyAlignment="1">
      <alignment horizontal="center"/>
    </xf>
    <xf numFmtId="2" fontId="7" fillId="0" borderId="0" xfId="0" applyNumberFormat="1" applyFont="1" applyFill="1" applyBorder="1" applyAlignment="1">
      <alignment horizontal="center"/>
    </xf>
    <xf numFmtId="0" fontId="7" fillId="8" borderId="0" xfId="0" applyFont="1" applyFill="1" applyAlignment="1">
      <alignment horizontal="center" vertical="center"/>
    </xf>
    <xf numFmtId="0" fontId="0" fillId="0" borderId="0" xfId="0" applyFont="1" applyFill="1" applyBorder="1" applyAlignment="1">
      <alignment horizontal="center"/>
    </xf>
    <xf numFmtId="2" fontId="2" fillId="4" borderId="7" xfId="0" applyNumberFormat="1" applyFont="1" applyFill="1" applyBorder="1" applyAlignment="1">
      <alignment horizontal="center"/>
    </xf>
    <xf numFmtId="0" fontId="4" fillId="2" borderId="0" xfId="0" applyFont="1" applyFill="1"/>
    <xf numFmtId="0" fontId="2" fillId="3" borderId="2" xfId="0" applyFont="1" applyFill="1" applyBorder="1" applyAlignment="1">
      <alignment horizontal="center"/>
    </xf>
    <xf numFmtId="0" fontId="3" fillId="0" borderId="0" xfId="0" applyFont="1"/>
    <xf numFmtId="0" fontId="0" fillId="4" borderId="0" xfId="0" applyFont="1" applyFill="1" applyBorder="1"/>
    <xf numFmtId="0" fontId="1" fillId="0" borderId="0" xfId="0" applyFont="1"/>
    <xf numFmtId="0" fontId="1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2" fontId="2" fillId="4" borderId="9" xfId="0" applyNumberFormat="1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0" fontId="0" fillId="2" borderId="0" xfId="0" applyFont="1" applyFill="1" applyAlignment="1">
      <alignment horizontal="center"/>
    </xf>
    <xf numFmtId="0" fontId="0" fillId="4" borderId="4" xfId="0" applyFont="1" applyFill="1" applyBorder="1" applyAlignment="1">
      <alignment horizontal="center"/>
    </xf>
    <xf numFmtId="0" fontId="0" fillId="4" borderId="7" xfId="0" applyFont="1" applyFill="1" applyBorder="1" applyAlignment="1">
      <alignment horizontal="center"/>
    </xf>
    <xf numFmtId="0" fontId="0" fillId="4" borderId="9" xfId="0" applyFont="1" applyFill="1" applyBorder="1" applyAlignment="1">
      <alignment horizontal="center"/>
    </xf>
    <xf numFmtId="2" fontId="0" fillId="0" borderId="8" xfId="0" applyNumberFormat="1" applyFont="1" applyBorder="1" applyAlignment="1">
      <alignment horizontal="center"/>
    </xf>
    <xf numFmtId="2" fontId="0" fillId="4" borderId="8" xfId="0" applyNumberFormat="1" applyFont="1" applyFill="1" applyBorder="1" applyAlignment="1">
      <alignment horizontal="center" vertical="center"/>
    </xf>
    <xf numFmtId="0" fontId="0" fillId="4" borderId="10" xfId="0" applyFont="1" applyFill="1" applyBorder="1" applyAlignment="1">
      <alignment horizontal="center" vertical="center"/>
    </xf>
    <xf numFmtId="0" fontId="0" fillId="5" borderId="5" xfId="0" applyFont="1" applyFill="1" applyBorder="1" applyAlignment="1">
      <alignment horizontal="center"/>
    </xf>
    <xf numFmtId="0" fontId="0" fillId="5" borderId="6" xfId="0" applyFont="1" applyFill="1" applyBorder="1" applyAlignment="1">
      <alignment horizontal="center"/>
    </xf>
    <xf numFmtId="0" fontId="0" fillId="5" borderId="8" xfId="0" applyFont="1" applyFill="1" applyBorder="1" applyAlignment="1">
      <alignment horizontal="center"/>
    </xf>
    <xf numFmtId="0" fontId="0" fillId="5" borderId="0" xfId="0" applyFont="1" applyFill="1" applyBorder="1" applyAlignment="1">
      <alignment horizontal="center"/>
    </xf>
    <xf numFmtId="0" fontId="0" fillId="5" borderId="10" xfId="0" applyFont="1" applyFill="1" applyBorder="1" applyAlignment="1">
      <alignment horizontal="center"/>
    </xf>
    <xf numFmtId="2" fontId="2" fillId="0" borderId="19" xfId="0" applyNumberFormat="1" applyFont="1" applyBorder="1" applyAlignment="1">
      <alignment horizontal="center" vertical="center"/>
    </xf>
    <xf numFmtId="0" fontId="7" fillId="4" borderId="18" xfId="0" applyFont="1" applyFill="1" applyBorder="1"/>
    <xf numFmtId="0" fontId="2" fillId="4" borderId="19" xfId="0" applyFont="1" applyFill="1" applyBorder="1" applyAlignment="1">
      <alignment horizontal="center" wrapText="1"/>
    </xf>
    <xf numFmtId="2" fontId="7" fillId="4" borderId="20" xfId="0" applyNumberFormat="1" applyFont="1" applyFill="1" applyBorder="1" applyAlignment="1">
      <alignment horizontal="center" wrapText="1"/>
    </xf>
    <xf numFmtId="2" fontId="7" fillId="4" borderId="8" xfId="0" applyNumberFormat="1" applyFont="1" applyFill="1" applyBorder="1" applyAlignment="1">
      <alignment horizontal="center" wrapText="1"/>
    </xf>
    <xf numFmtId="0" fontId="0" fillId="4" borderId="0" xfId="0" applyFont="1" applyFill="1" applyBorder="1" applyAlignment="1">
      <alignment horizontal="center" wrapText="1"/>
    </xf>
    <xf numFmtId="0" fontId="2" fillId="3" borderId="41" xfId="0" applyFont="1" applyFill="1" applyBorder="1" applyAlignment="1">
      <alignment horizontal="center" wrapText="1"/>
    </xf>
    <xf numFmtId="2" fontId="7" fillId="4" borderId="26" xfId="0" applyNumberFormat="1" applyFont="1" applyFill="1" applyBorder="1" applyAlignment="1">
      <alignment horizontal="center" wrapText="1"/>
    </xf>
    <xf numFmtId="0" fontId="7" fillId="3" borderId="36" xfId="0" applyFont="1" applyFill="1" applyBorder="1"/>
    <xf numFmtId="2" fontId="7" fillId="4" borderId="43" xfId="0" applyNumberFormat="1" applyFont="1" applyFill="1" applyBorder="1" applyAlignment="1">
      <alignment horizontal="center" wrapText="1"/>
    </xf>
    <xf numFmtId="0" fontId="2" fillId="3" borderId="32" xfId="0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 vertical="center" wrapText="1"/>
    </xf>
    <xf numFmtId="0" fontId="2" fillId="3" borderId="32" xfId="0" applyFont="1" applyFill="1" applyBorder="1" applyAlignment="1">
      <alignment horizontal="center" vertical="center"/>
    </xf>
    <xf numFmtId="0" fontId="0" fillId="4" borderId="6" xfId="0" applyFont="1" applyFill="1" applyBorder="1" applyAlignment="1">
      <alignment horizontal="center" wrapText="1"/>
    </xf>
    <xf numFmtId="0" fontId="0" fillId="4" borderId="8" xfId="0" applyFont="1" applyFill="1" applyBorder="1" applyAlignment="1">
      <alignment horizontal="center" wrapText="1"/>
    </xf>
    <xf numFmtId="2" fontId="11" fillId="4" borderId="8" xfId="0" applyNumberFormat="1" applyFont="1" applyFill="1" applyBorder="1" applyAlignment="1">
      <alignment horizontal="center" wrapText="1"/>
    </xf>
    <xf numFmtId="2" fontId="7" fillId="4" borderId="44" xfId="0" applyNumberFormat="1" applyFont="1" applyFill="1" applyBorder="1" applyAlignment="1">
      <alignment horizontal="center" wrapText="1"/>
    </xf>
    <xf numFmtId="165" fontId="2" fillId="3" borderId="41" xfId="0" applyNumberFormat="1" applyFont="1" applyFill="1" applyBorder="1" applyAlignment="1">
      <alignment horizontal="center" wrapText="1"/>
    </xf>
    <xf numFmtId="2" fontId="0" fillId="4" borderId="26" xfId="0" applyNumberFormat="1" applyFont="1" applyFill="1" applyBorder="1" applyAlignment="1">
      <alignment horizontal="center" wrapText="1"/>
    </xf>
    <xf numFmtId="2" fontId="2" fillId="3" borderId="42" xfId="0" applyNumberFormat="1" applyFont="1" applyFill="1" applyBorder="1" applyAlignment="1">
      <alignment horizontal="center" wrapText="1"/>
    </xf>
    <xf numFmtId="2" fontId="0" fillId="4" borderId="17" xfId="0" applyNumberFormat="1" applyFont="1" applyFill="1" applyBorder="1" applyAlignment="1">
      <alignment horizontal="center" wrapText="1"/>
    </xf>
    <xf numFmtId="2" fontId="0" fillId="4" borderId="19" xfId="0" applyNumberFormat="1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14" fontId="2" fillId="0" borderId="0" xfId="0" applyNumberFormat="1" applyFont="1" applyBorder="1" applyAlignment="1">
      <alignment horizontal="center" vertical="center"/>
    </xf>
    <xf numFmtId="0" fontId="11" fillId="4" borderId="0" xfId="0" applyFont="1" applyFill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 wrapText="1"/>
    </xf>
    <xf numFmtId="2" fontId="11" fillId="4" borderId="0" xfId="0" applyNumberFormat="1" applyFont="1" applyFill="1" applyBorder="1" applyAlignment="1">
      <alignment horizontal="center" vertical="center"/>
    </xf>
    <xf numFmtId="2" fontId="0" fillId="4" borderId="11" xfId="0" applyNumberFormat="1" applyFont="1" applyFill="1" applyBorder="1" applyAlignment="1">
      <alignment horizontal="center" vertical="center"/>
    </xf>
    <xf numFmtId="2" fontId="0" fillId="4" borderId="44" xfId="0" applyNumberFormat="1" applyFont="1" applyFill="1" applyBorder="1" applyAlignment="1">
      <alignment horizontal="center" vertical="center"/>
    </xf>
    <xf numFmtId="2" fontId="2" fillId="4" borderId="40" xfId="0" applyNumberFormat="1" applyFont="1" applyFill="1" applyBorder="1" applyAlignment="1">
      <alignment horizontal="center" vertical="center"/>
    </xf>
    <xf numFmtId="0" fontId="0" fillId="2" borderId="0" xfId="0" applyFont="1" applyFill="1"/>
    <xf numFmtId="0" fontId="0" fillId="0" borderId="0" xfId="0" applyFont="1" applyBorder="1"/>
    <xf numFmtId="2" fontId="0" fillId="0" borderId="0" xfId="0" applyNumberFormat="1" applyFont="1" applyFill="1" applyBorder="1" applyAlignment="1">
      <alignment horizontal="center"/>
    </xf>
    <xf numFmtId="2" fontId="0" fillId="4" borderId="0" xfId="0" applyNumberFormat="1" applyFont="1" applyFill="1" applyBorder="1" applyAlignment="1">
      <alignment horizontal="right"/>
    </xf>
    <xf numFmtId="2" fontId="0" fillId="0" borderId="0" xfId="0" applyNumberFormat="1" applyFont="1" applyFill="1" applyBorder="1"/>
    <xf numFmtId="0" fontId="0" fillId="0" borderId="0" xfId="0" applyFont="1" applyBorder="1" applyAlignment="1">
      <alignment horizontal="center"/>
    </xf>
    <xf numFmtId="2" fontId="0" fillId="0" borderId="0" xfId="0" applyNumberFormat="1" applyFont="1" applyFill="1" applyBorder="1" applyAlignment="1">
      <alignment horizontal="right"/>
    </xf>
    <xf numFmtId="2" fontId="11" fillId="4" borderId="0" xfId="1" applyNumberFormat="1" applyFont="1" applyFill="1" applyBorder="1" applyAlignment="1">
      <alignment horizontal="center"/>
    </xf>
    <xf numFmtId="2" fontId="26" fillId="0" borderId="0" xfId="0" applyNumberFormat="1" applyFont="1" applyBorder="1" applyAlignment="1">
      <alignment horizontal="center" vertical="center"/>
    </xf>
    <xf numFmtId="0" fontId="0" fillId="2" borderId="0" xfId="0" applyFont="1" applyFill="1" applyAlignment="1">
      <alignment horizontal="left"/>
    </xf>
    <xf numFmtId="0" fontId="0" fillId="0" borderId="0" xfId="0" applyFont="1" applyAlignment="1">
      <alignment horizontal="left"/>
    </xf>
    <xf numFmtId="2" fontId="0" fillId="4" borderId="10" xfId="0" applyNumberFormat="1" applyFont="1" applyFill="1" applyBorder="1" applyAlignment="1">
      <alignment horizontal="center"/>
    </xf>
    <xf numFmtId="2" fontId="0" fillId="0" borderId="0" xfId="0" applyNumberFormat="1" applyFont="1"/>
    <xf numFmtId="0" fontId="0" fillId="0" borderId="0" xfId="0" applyFont="1" applyAlignment="1">
      <alignment horizontal="left" vertical="center"/>
    </xf>
    <xf numFmtId="0" fontId="0" fillId="2" borderId="0" xfId="0" applyFont="1" applyFill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0" fontId="0" fillId="4" borderId="17" xfId="0" applyFont="1" applyFill="1" applyBorder="1" applyAlignment="1">
      <alignment horizontal="center" vertical="center"/>
    </xf>
    <xf numFmtId="0" fontId="0" fillId="4" borderId="26" xfId="0" applyFont="1" applyFill="1" applyBorder="1" applyAlignment="1">
      <alignment horizontal="center" vertical="center"/>
    </xf>
    <xf numFmtId="0" fontId="0" fillId="4" borderId="16" xfId="0" applyFont="1" applyFill="1" applyBorder="1" applyAlignment="1">
      <alignment horizontal="center" vertical="center"/>
    </xf>
    <xf numFmtId="2" fontId="0" fillId="4" borderId="6" xfId="0" applyNumberFormat="1" applyFont="1" applyFill="1" applyBorder="1" applyAlignment="1">
      <alignment horizontal="center" vertical="center"/>
    </xf>
    <xf numFmtId="0" fontId="0" fillId="4" borderId="25" xfId="0" applyFont="1" applyFill="1" applyBorder="1" applyAlignment="1">
      <alignment horizontal="center" vertical="center"/>
    </xf>
    <xf numFmtId="0" fontId="0" fillId="4" borderId="11" xfId="0" applyFont="1" applyFill="1" applyBorder="1" applyAlignment="1">
      <alignment horizontal="center" vertical="center"/>
    </xf>
    <xf numFmtId="0" fontId="0" fillId="4" borderId="29" xfId="0" applyFont="1" applyFill="1" applyBorder="1" applyAlignment="1">
      <alignment horizontal="center" vertical="center"/>
    </xf>
    <xf numFmtId="0" fontId="0" fillId="4" borderId="35" xfId="0" applyFont="1" applyFill="1" applyBorder="1" applyAlignment="1">
      <alignment horizontal="center" vertical="center"/>
    </xf>
    <xf numFmtId="0" fontId="0" fillId="4" borderId="28" xfId="0" applyFont="1" applyFill="1" applyBorder="1" applyAlignment="1">
      <alignment horizontal="center" vertical="center"/>
    </xf>
    <xf numFmtId="0" fontId="0" fillId="4" borderId="18" xfId="0" applyFont="1" applyFill="1" applyBorder="1" applyAlignment="1">
      <alignment horizontal="center" vertical="center"/>
    </xf>
    <xf numFmtId="0" fontId="0" fillId="4" borderId="19" xfId="0" applyFont="1" applyFill="1" applyBorder="1" applyAlignment="1">
      <alignment horizontal="center" vertical="center"/>
    </xf>
    <xf numFmtId="0" fontId="0" fillId="4" borderId="20" xfId="0" applyFont="1" applyFill="1" applyBorder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7" xfId="0" applyFont="1" applyBorder="1" applyAlignment="1">
      <alignment horizontal="center" vertical="center"/>
    </xf>
    <xf numFmtId="164" fontId="0" fillId="0" borderId="0" xfId="0" applyNumberFormat="1" applyFont="1" applyAlignment="1">
      <alignment vertical="center"/>
    </xf>
    <xf numFmtId="0" fontId="0" fillId="4" borderId="0" xfId="0" applyFont="1" applyFill="1" applyAlignment="1">
      <alignment vertical="center"/>
    </xf>
    <xf numFmtId="0" fontId="7" fillId="0" borderId="0" xfId="0" applyFont="1" applyAlignment="1">
      <alignment horizontal="center" vertical="center"/>
    </xf>
    <xf numFmtId="0" fontId="27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30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20" fontId="11" fillId="0" borderId="0" xfId="0" applyNumberFormat="1" applyFont="1" applyAlignment="1">
      <alignment horizontal="left" vertical="center"/>
    </xf>
    <xf numFmtId="20" fontId="11" fillId="4" borderId="0" xfId="0" applyNumberFormat="1" applyFont="1" applyFill="1" applyAlignment="1">
      <alignment horizontal="left" vertical="center"/>
    </xf>
    <xf numFmtId="49" fontId="11" fillId="0" borderId="0" xfId="0" applyNumberFormat="1" applyFont="1" applyAlignment="1">
      <alignment horizontal="left" vertical="center"/>
    </xf>
    <xf numFmtId="2" fontId="0" fillId="4" borderId="17" xfId="0" applyNumberFormat="1" applyFont="1" applyFill="1" applyBorder="1" applyAlignment="1">
      <alignment horizontal="center" vertical="center"/>
    </xf>
    <xf numFmtId="2" fontId="0" fillId="4" borderId="16" xfId="0" applyNumberFormat="1" applyFont="1" applyFill="1" applyBorder="1" applyAlignment="1">
      <alignment horizontal="center" vertical="center"/>
    </xf>
    <xf numFmtId="2" fontId="0" fillId="4" borderId="28" xfId="0" applyNumberFormat="1" applyFont="1" applyFill="1" applyBorder="1" applyAlignment="1">
      <alignment horizontal="center" vertical="center"/>
    </xf>
    <xf numFmtId="2" fontId="0" fillId="4" borderId="18" xfId="0" applyNumberFormat="1" applyFont="1" applyFill="1" applyBorder="1" applyAlignment="1">
      <alignment horizontal="center" vertical="center"/>
    </xf>
    <xf numFmtId="0" fontId="0" fillId="4" borderId="19" xfId="0" applyFont="1" applyFill="1" applyBorder="1"/>
    <xf numFmtId="2" fontId="0" fillId="4" borderId="4" xfId="0" applyNumberFormat="1" applyFont="1" applyFill="1" applyBorder="1" applyAlignment="1">
      <alignment horizontal="center" vertical="center"/>
    </xf>
    <xf numFmtId="2" fontId="0" fillId="0" borderId="0" xfId="0" applyNumberFormat="1" applyFont="1" applyAlignment="1">
      <alignment vertical="center"/>
    </xf>
    <xf numFmtId="2" fontId="0" fillId="4" borderId="7" xfId="0" applyNumberFormat="1" applyFont="1" applyFill="1" applyBorder="1" applyAlignment="1">
      <alignment horizontal="center" vertical="center"/>
    </xf>
    <xf numFmtId="0" fontId="11" fillId="0" borderId="0" xfId="0" applyFont="1" applyBorder="1" applyAlignment="1">
      <alignment horizontal="left"/>
    </xf>
    <xf numFmtId="0" fontId="2" fillId="3" borderId="2" xfId="0" applyFont="1" applyFill="1" applyBorder="1" applyAlignment="1">
      <alignment horizontal="right"/>
    </xf>
    <xf numFmtId="0" fontId="3" fillId="0" borderId="0" xfId="0" applyFont="1" applyAlignment="1">
      <alignment horizontal="left" vertical="center"/>
    </xf>
    <xf numFmtId="2" fontId="3" fillId="0" borderId="0" xfId="0" applyNumberFormat="1" applyFont="1"/>
    <xf numFmtId="2" fontId="0" fillId="0" borderId="0" xfId="0" applyNumberFormat="1" applyFont="1" applyAlignment="1">
      <alignment horizontal="center"/>
    </xf>
    <xf numFmtId="2" fontId="2" fillId="3" borderId="5" xfId="0" applyNumberFormat="1" applyFont="1" applyFill="1" applyBorder="1" applyAlignment="1">
      <alignment horizontal="center" vertical="center"/>
    </xf>
    <xf numFmtId="2" fontId="2" fillId="3" borderId="30" xfId="0" applyNumberFormat="1" applyFont="1" applyFill="1" applyBorder="1" applyAlignment="1">
      <alignment horizontal="center" vertical="center"/>
    </xf>
    <xf numFmtId="2" fontId="0" fillId="4" borderId="7" xfId="0" applyNumberFormat="1" applyFont="1" applyFill="1" applyBorder="1"/>
    <xf numFmtId="2" fontId="0" fillId="4" borderId="9" xfId="0" applyNumberFormat="1" applyFont="1" applyFill="1" applyBorder="1"/>
    <xf numFmtId="2" fontId="2" fillId="0" borderId="0" xfId="0" applyNumberFormat="1" applyFont="1"/>
    <xf numFmtId="2" fontId="2" fillId="3" borderId="1" xfId="0" applyNumberFormat="1" applyFont="1" applyFill="1" applyBorder="1"/>
    <xf numFmtId="2" fontId="7" fillId="8" borderId="0" xfId="0" applyNumberFormat="1" applyFont="1" applyFill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2" fontId="1" fillId="0" borderId="0" xfId="0" applyNumberFormat="1" applyFont="1" applyAlignment="1">
      <alignment horizontal="center" vertical="center"/>
    </xf>
    <xf numFmtId="2" fontId="4" fillId="2" borderId="0" xfId="0" applyNumberFormat="1" applyFont="1" applyFill="1" applyAlignment="1">
      <alignment horizontal="center" vertical="center"/>
    </xf>
    <xf numFmtId="2" fontId="12" fillId="0" borderId="0" xfId="0" applyNumberFormat="1" applyFont="1" applyFill="1" applyAlignment="1">
      <alignment horizontal="center" vertical="center"/>
    </xf>
    <xf numFmtId="2" fontId="0" fillId="0" borderId="0" xfId="0" applyNumberFormat="1" applyFont="1" applyFill="1" applyAlignment="1">
      <alignment horizontal="center"/>
    </xf>
    <xf numFmtId="2" fontId="2" fillId="3" borderId="4" xfId="0" applyNumberFormat="1" applyFont="1" applyFill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/>
    </xf>
    <xf numFmtId="2" fontId="2" fillId="3" borderId="6" xfId="0" applyNumberFormat="1" applyFont="1" applyFill="1" applyBorder="1" applyAlignment="1">
      <alignment horizontal="center" vertical="center"/>
    </xf>
    <xf numFmtId="2" fontId="7" fillId="3" borderId="2" xfId="1" applyNumberFormat="1" applyFont="1" applyFill="1" applyBorder="1" applyAlignment="1">
      <alignment horizontal="center"/>
    </xf>
    <xf numFmtId="2" fontId="2" fillId="3" borderId="3" xfId="0" applyNumberFormat="1" applyFont="1" applyFill="1" applyBorder="1" applyAlignment="1">
      <alignment horizontal="center"/>
    </xf>
    <xf numFmtId="2" fontId="11" fillId="4" borderId="6" xfId="0" applyNumberFormat="1" applyFont="1" applyFill="1" applyBorder="1" applyAlignment="1">
      <alignment horizontal="center" vertical="center"/>
    </xf>
    <xf numFmtId="2" fontId="0" fillId="0" borderId="8" xfId="0" applyNumberFormat="1" applyFont="1" applyBorder="1"/>
    <xf numFmtId="2" fontId="2" fillId="3" borderId="1" xfId="0" applyNumberFormat="1" applyFont="1" applyFill="1" applyBorder="1" applyAlignment="1">
      <alignment horizontal="center" vertical="center"/>
    </xf>
    <xf numFmtId="2" fontId="2" fillId="3" borderId="3" xfId="0" applyNumberFormat="1" applyFont="1" applyFill="1" applyBorder="1" applyAlignment="1">
      <alignment horizontal="center" vertical="center"/>
    </xf>
    <xf numFmtId="2" fontId="2" fillId="3" borderId="7" xfId="0" applyNumberFormat="1" applyFont="1" applyFill="1" applyBorder="1" applyAlignment="1">
      <alignment horizontal="center" vertical="center"/>
    </xf>
    <xf numFmtId="2" fontId="2" fillId="3" borderId="10" xfId="0" applyNumberFormat="1" applyFont="1" applyFill="1" applyBorder="1" applyAlignment="1">
      <alignment horizontal="center"/>
    </xf>
    <xf numFmtId="2" fontId="2" fillId="3" borderId="8" xfId="0" applyNumberFormat="1" applyFont="1" applyFill="1" applyBorder="1" applyAlignment="1">
      <alignment horizontal="center" vertical="center"/>
    </xf>
    <xf numFmtId="2" fontId="11" fillId="4" borderId="6" xfId="0" applyNumberFormat="1" applyFont="1" applyFill="1" applyBorder="1" applyAlignment="1">
      <alignment horizontal="center"/>
    </xf>
    <xf numFmtId="2" fontId="0" fillId="0" borderId="0" xfId="0" applyNumberFormat="1" applyFont="1" applyBorder="1"/>
    <xf numFmtId="2" fontId="0" fillId="0" borderId="0" xfId="0" applyNumberFormat="1" applyFont="1" applyBorder="1" applyAlignment="1">
      <alignment horizontal="center" vertical="center"/>
    </xf>
    <xf numFmtId="2" fontId="11" fillId="0" borderId="8" xfId="0" applyNumberFormat="1" applyFont="1" applyBorder="1" applyAlignment="1">
      <alignment horizontal="center" vertical="center"/>
    </xf>
    <xf numFmtId="2" fontId="7" fillId="8" borderId="0" xfId="0" applyNumberFormat="1" applyFont="1" applyFill="1" applyBorder="1" applyAlignment="1">
      <alignment horizontal="center" vertical="center"/>
    </xf>
    <xf numFmtId="2" fontId="3" fillId="0" borderId="0" xfId="0" applyNumberFormat="1" applyFont="1" applyBorder="1" applyAlignment="1">
      <alignment horizontal="left"/>
    </xf>
    <xf numFmtId="2" fontId="3" fillId="0" borderId="0" xfId="0" applyNumberFormat="1" applyFont="1" applyAlignment="1">
      <alignment horizontal="left"/>
    </xf>
    <xf numFmtId="2" fontId="2" fillId="3" borderId="1" xfId="0" applyNumberFormat="1" applyFont="1" applyFill="1" applyBorder="1" applyAlignment="1">
      <alignment horizontal="center"/>
    </xf>
    <xf numFmtId="2" fontId="0" fillId="4" borderId="4" xfId="0" applyNumberFormat="1" applyFont="1" applyFill="1" applyBorder="1" applyAlignment="1">
      <alignment horizontal="center"/>
    </xf>
    <xf numFmtId="2" fontId="0" fillId="4" borderId="7" xfId="0" applyNumberFormat="1" applyFont="1" applyFill="1" applyBorder="1" applyAlignment="1">
      <alignment horizontal="center"/>
    </xf>
    <xf numFmtId="2" fontId="2" fillId="0" borderId="0" xfId="0" applyNumberFormat="1" applyFont="1" applyFill="1" applyBorder="1"/>
    <xf numFmtId="2" fontId="0" fillId="4" borderId="9" xfId="0" applyNumberFormat="1" applyFont="1" applyFill="1" applyBorder="1" applyAlignment="1">
      <alignment horizontal="center"/>
    </xf>
    <xf numFmtId="2" fontId="24" fillId="4" borderId="9" xfId="0" applyNumberFormat="1" applyFont="1" applyFill="1" applyBorder="1" applyAlignment="1">
      <alignment horizontal="left"/>
    </xf>
    <xf numFmtId="2" fontId="0" fillId="0" borderId="0" xfId="0" applyNumberFormat="1" applyFont="1" applyBorder="1" applyAlignment="1">
      <alignment horizontal="center"/>
    </xf>
    <xf numFmtId="2" fontId="7" fillId="0" borderId="0" xfId="1" applyNumberFormat="1" applyFont="1" applyFill="1" applyBorder="1" applyAlignment="1">
      <alignment horizontal="center"/>
    </xf>
    <xf numFmtId="2" fontId="1" fillId="0" borderId="0" xfId="0" applyNumberFormat="1" applyFont="1" applyFill="1" applyBorder="1" applyAlignment="1">
      <alignment horizontal="center"/>
    </xf>
    <xf numFmtId="2" fontId="3" fillId="0" borderId="0" xfId="0" applyNumberFormat="1" applyFont="1" applyFill="1" applyBorder="1"/>
    <xf numFmtId="2" fontId="7" fillId="0" borderId="0" xfId="0" applyNumberFormat="1" applyFont="1" applyFill="1" applyBorder="1"/>
    <xf numFmtId="2" fontId="3" fillId="0" borderId="0" xfId="0" applyNumberFormat="1" applyFont="1" applyFill="1" applyBorder="1" applyAlignment="1">
      <alignment horizontal="left"/>
    </xf>
    <xf numFmtId="2" fontId="11" fillId="0" borderId="0" xfId="0" applyNumberFormat="1" applyFont="1" applyFill="1" applyBorder="1"/>
    <xf numFmtId="2" fontId="0" fillId="0" borderId="0" xfId="0" applyNumberFormat="1" applyFont="1" applyFill="1" applyAlignment="1">
      <alignment horizontal="center" vertical="center"/>
    </xf>
    <xf numFmtId="2" fontId="0" fillId="4" borderId="9" xfId="0" applyNumberFormat="1" applyFont="1" applyFill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2" fontId="4" fillId="0" borderId="0" xfId="0" applyNumberFormat="1" applyFont="1" applyFill="1" applyAlignment="1">
      <alignment horizontal="center" vertical="center"/>
    </xf>
    <xf numFmtId="2" fontId="7" fillId="3" borderId="2" xfId="1" applyNumberFormat="1" applyFont="1" applyFill="1" applyBorder="1" applyAlignment="1">
      <alignment horizontal="center" vertical="center"/>
    </xf>
    <xf numFmtId="2" fontId="2" fillId="3" borderId="3" xfId="0" applyNumberFormat="1" applyFont="1" applyFill="1" applyBorder="1" applyAlignment="1">
      <alignment horizontal="center" vertical="center" wrapText="1"/>
    </xf>
    <xf numFmtId="2" fontId="10" fillId="4" borderId="5" xfId="0" applyNumberFormat="1" applyFont="1" applyFill="1" applyBorder="1" applyAlignment="1">
      <alignment horizontal="center" vertical="center"/>
    </xf>
    <xf numFmtId="2" fontId="10" fillId="4" borderId="0" xfId="0" applyNumberFormat="1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0" fillId="0" borderId="9" xfId="0" applyNumberFormat="1" applyFont="1" applyBorder="1" applyAlignment="1">
      <alignment horizontal="center" vertical="center"/>
    </xf>
    <xf numFmtId="2" fontId="0" fillId="0" borderId="7" xfId="0" applyNumberFormat="1" applyFont="1" applyBorder="1"/>
    <xf numFmtId="2" fontId="0" fillId="0" borderId="0" xfId="0" applyNumberFormat="1" applyFont="1" applyFill="1" applyBorder="1" applyAlignment="1">
      <alignment horizontal="center" vertical="center"/>
    </xf>
    <xf numFmtId="2" fontId="11" fillId="0" borderId="0" xfId="0" applyNumberFormat="1" applyFont="1" applyBorder="1" applyAlignment="1">
      <alignment horizontal="center" vertical="center"/>
    </xf>
    <xf numFmtId="2" fontId="2" fillId="3" borderId="2" xfId="0" applyNumberFormat="1" applyFont="1" applyFill="1" applyBorder="1" applyAlignment="1">
      <alignment horizontal="center" vertical="center"/>
    </xf>
    <xf numFmtId="2" fontId="2" fillId="3" borderId="6" xfId="0" applyNumberFormat="1" applyFont="1" applyFill="1" applyBorder="1" applyAlignment="1">
      <alignment horizontal="center" vertical="center" wrapText="1"/>
    </xf>
    <xf numFmtId="2" fontId="11" fillId="0" borderId="0" xfId="0" applyNumberFormat="1" applyFont="1" applyAlignment="1">
      <alignment horizontal="center" vertical="center"/>
    </xf>
    <xf numFmtId="2" fontId="4" fillId="2" borderId="0" xfId="0" applyNumberFormat="1" applyFont="1" applyFill="1"/>
    <xf numFmtId="2" fontId="2" fillId="3" borderId="3" xfId="0" applyNumberFormat="1" applyFont="1" applyFill="1" applyBorder="1" applyAlignment="1">
      <alignment wrapText="1"/>
    </xf>
    <xf numFmtId="2" fontId="0" fillId="4" borderId="4" xfId="0" applyNumberFormat="1" applyFont="1" applyFill="1" applyBorder="1"/>
    <xf numFmtId="2" fontId="11" fillId="0" borderId="0" xfId="0" applyNumberFormat="1" applyFont="1" applyAlignment="1">
      <alignment horizontal="center" vertical="center"/>
    </xf>
    <xf numFmtId="2" fontId="2" fillId="3" borderId="3" xfId="0" applyNumberFormat="1" applyFont="1" applyFill="1" applyBorder="1" applyAlignment="1">
      <alignment horizontal="center" wrapText="1"/>
    </xf>
    <xf numFmtId="2" fontId="2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center"/>
    </xf>
    <xf numFmtId="2" fontId="3" fillId="0" borderId="0" xfId="0" applyNumberFormat="1" applyFont="1" applyAlignment="1"/>
    <xf numFmtId="2" fontId="2" fillId="3" borderId="21" xfId="0" applyNumberFormat="1" applyFont="1" applyFill="1" applyBorder="1" applyAlignment="1">
      <alignment horizontal="center" vertical="center"/>
    </xf>
    <xf numFmtId="2" fontId="2" fillId="3" borderId="22" xfId="0" applyNumberFormat="1" applyFont="1" applyFill="1" applyBorder="1" applyAlignment="1">
      <alignment horizontal="center"/>
    </xf>
    <xf numFmtId="2" fontId="2" fillId="3" borderId="22" xfId="0" applyNumberFormat="1" applyFont="1" applyFill="1" applyBorder="1" applyAlignment="1">
      <alignment horizontal="center" vertical="center"/>
    </xf>
    <xf numFmtId="2" fontId="2" fillId="3" borderId="23" xfId="0" applyNumberFormat="1" applyFont="1" applyFill="1" applyBorder="1" applyAlignment="1">
      <alignment horizontal="center" vertical="center"/>
    </xf>
    <xf numFmtId="2" fontId="2" fillId="3" borderId="36" xfId="0" applyNumberFormat="1" applyFont="1" applyFill="1" applyBorder="1" applyAlignment="1">
      <alignment horizontal="center" vertical="center"/>
    </xf>
    <xf numFmtId="2" fontId="2" fillId="3" borderId="37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0" fillId="0" borderId="0" xfId="0" applyFont="1" applyFill="1" applyBorder="1" applyAlignment="1">
      <alignment vertical="center"/>
    </xf>
    <xf numFmtId="0" fontId="2" fillId="3" borderId="27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35" xfId="0" applyFont="1" applyFill="1" applyBorder="1" applyAlignment="1">
      <alignment horizontal="center" vertical="center" wrapText="1"/>
    </xf>
    <xf numFmtId="0" fontId="2" fillId="3" borderId="27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31" xfId="0" applyFont="1" applyFill="1" applyBorder="1" applyAlignment="1">
      <alignment horizontal="center" vertical="center"/>
    </xf>
    <xf numFmtId="0" fontId="0" fillId="3" borderId="32" xfId="0" applyFont="1" applyFill="1" applyBorder="1" applyAlignment="1">
      <alignment horizontal="center" vertical="center"/>
    </xf>
    <xf numFmtId="0" fontId="7" fillId="3" borderId="32" xfId="0" applyFont="1" applyFill="1" applyBorder="1" applyAlignment="1">
      <alignment horizontal="center" vertical="center"/>
    </xf>
    <xf numFmtId="0" fontId="0" fillId="3" borderId="33" xfId="0" applyFont="1" applyFill="1" applyBorder="1" applyAlignment="1">
      <alignment horizontal="center" vertical="center"/>
    </xf>
    <xf numFmtId="0" fontId="7" fillId="3" borderId="34" xfId="0" applyFont="1" applyFill="1" applyBorder="1" applyAlignment="1">
      <alignment horizontal="center" vertical="center"/>
    </xf>
    <xf numFmtId="0" fontId="0" fillId="3" borderId="15" xfId="0" applyFont="1" applyFill="1" applyBorder="1" applyAlignment="1">
      <alignment horizontal="center" vertical="center"/>
    </xf>
    <xf numFmtId="0" fontId="0" fillId="4" borderId="24" xfId="0" applyFont="1" applyFill="1" applyBorder="1" applyAlignment="1">
      <alignment horizontal="center" vertical="center"/>
    </xf>
    <xf numFmtId="0" fontId="0" fillId="3" borderId="24" xfId="0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0" fillId="3" borderId="6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0" fillId="3" borderId="28" xfId="0" applyFont="1" applyFill="1" applyBorder="1" applyAlignment="1">
      <alignment horizontal="center" vertical="center"/>
    </xf>
    <xf numFmtId="2" fontId="2" fillId="3" borderId="5" xfId="0" applyNumberFormat="1" applyFont="1" applyFill="1" applyBorder="1" applyAlignment="1">
      <alignment horizontal="center" vertical="center" wrapText="1"/>
    </xf>
    <xf numFmtId="2" fontId="11" fillId="4" borderId="5" xfId="0" applyNumberFormat="1" applyFont="1" applyFill="1" applyBorder="1" applyAlignment="1">
      <alignment horizontal="center" vertical="center"/>
    </xf>
    <xf numFmtId="2" fontId="2" fillId="4" borderId="9" xfId="0" applyNumberFormat="1" applyFont="1" applyFill="1" applyBorder="1" applyAlignment="1">
      <alignment horizontal="center" vertical="center"/>
    </xf>
    <xf numFmtId="2" fontId="0" fillId="4" borderId="16" xfId="0" applyNumberFormat="1" applyFont="1" applyFill="1" applyBorder="1" applyAlignment="1">
      <alignment vertical="center"/>
    </xf>
    <xf numFmtId="2" fontId="0" fillId="4" borderId="18" xfId="0" applyNumberFormat="1" applyFont="1" applyFill="1" applyBorder="1" applyAlignment="1">
      <alignment vertical="center"/>
    </xf>
    <xf numFmtId="2" fontId="7" fillId="4" borderId="20" xfId="0" applyNumberFormat="1" applyFont="1" applyFill="1" applyBorder="1" applyAlignment="1">
      <alignment horizontal="center" vertical="center"/>
    </xf>
    <xf numFmtId="2" fontId="3" fillId="0" borderId="0" xfId="0" applyNumberFormat="1" applyFont="1" applyAlignment="1">
      <alignment vertical="center"/>
    </xf>
    <xf numFmtId="2" fontId="4" fillId="2" borderId="0" xfId="0" applyNumberFormat="1" applyFont="1" applyFill="1" applyAlignment="1">
      <alignment vertical="center"/>
    </xf>
    <xf numFmtId="2" fontId="2" fillId="3" borderId="21" xfId="0" applyNumberFormat="1" applyFont="1" applyFill="1" applyBorder="1" applyAlignment="1">
      <alignment vertical="center"/>
    </xf>
    <xf numFmtId="2" fontId="2" fillId="3" borderId="23" xfId="0" applyNumberFormat="1" applyFont="1" applyFill="1" applyBorder="1" applyAlignment="1">
      <alignment vertical="center" wrapText="1"/>
    </xf>
    <xf numFmtId="2" fontId="0" fillId="4" borderId="24" xfId="0" applyNumberFormat="1" applyFont="1" applyFill="1" applyBorder="1" applyAlignment="1">
      <alignment vertical="center"/>
    </xf>
    <xf numFmtId="2" fontId="0" fillId="4" borderId="27" xfId="0" applyNumberFormat="1" applyFont="1" applyFill="1" applyBorder="1" applyAlignment="1">
      <alignment vertical="center"/>
    </xf>
    <xf numFmtId="2" fontId="2" fillId="4" borderId="35" xfId="0" applyNumberFormat="1" applyFont="1" applyFill="1" applyBorder="1" applyAlignment="1">
      <alignment horizontal="center" vertical="center"/>
    </xf>
    <xf numFmtId="2" fontId="2" fillId="3" borderId="36" xfId="0" applyNumberFormat="1" applyFont="1" applyFill="1" applyBorder="1" applyAlignment="1">
      <alignment vertical="center"/>
    </xf>
    <xf numFmtId="2" fontId="2" fillId="3" borderId="37" xfId="0" applyNumberFormat="1" applyFont="1" applyFill="1" applyBorder="1" applyAlignment="1">
      <alignment horizontal="center" vertical="center" wrapText="1"/>
    </xf>
    <xf numFmtId="2" fontId="24" fillId="2" borderId="0" xfId="0" applyNumberFormat="1" applyFont="1" applyFill="1" applyAlignment="1">
      <alignment horizontal="left" vertical="center"/>
    </xf>
    <xf numFmtId="2" fontId="25" fillId="0" borderId="0" xfId="0" applyNumberFormat="1" applyFont="1" applyFill="1" applyAlignment="1">
      <alignment horizontal="center" vertical="center"/>
    </xf>
    <xf numFmtId="2" fontId="7" fillId="3" borderId="30" xfId="1" applyNumberFormat="1" applyFont="1" applyFill="1" applyBorder="1" applyAlignment="1">
      <alignment horizontal="center" vertical="center"/>
    </xf>
    <xf numFmtId="2" fontId="2" fillId="3" borderId="13" xfId="0" applyNumberFormat="1" applyFont="1" applyFill="1" applyBorder="1" applyAlignment="1">
      <alignment horizontal="center" vertical="center"/>
    </xf>
    <xf numFmtId="2" fontId="7" fillId="4" borderId="5" xfId="0" applyNumberFormat="1" applyFont="1" applyFill="1" applyBorder="1" applyAlignment="1">
      <alignment horizontal="center" vertical="center"/>
    </xf>
    <xf numFmtId="2" fontId="7" fillId="4" borderId="6" xfId="0" applyNumberFormat="1" applyFont="1" applyFill="1" applyBorder="1" applyAlignment="1">
      <alignment horizontal="center" vertical="center"/>
    </xf>
    <xf numFmtId="2" fontId="11" fillId="4" borderId="0" xfId="0" applyNumberFormat="1" applyFont="1" applyFill="1" applyAlignment="1">
      <alignment horizontal="center" vertical="center"/>
    </xf>
    <xf numFmtId="2" fontId="7" fillId="4" borderId="0" xfId="0" applyNumberFormat="1" applyFont="1" applyFill="1" applyAlignment="1">
      <alignment horizontal="center" vertical="center"/>
    </xf>
    <xf numFmtId="2" fontId="11" fillId="4" borderId="10" xfId="0" applyNumberFormat="1" applyFont="1" applyFill="1" applyBorder="1" applyAlignment="1">
      <alignment horizontal="center" vertical="center"/>
    </xf>
    <xf numFmtId="2" fontId="11" fillId="4" borderId="11" xfId="0" applyNumberFormat="1" applyFont="1" applyFill="1" applyBorder="1" applyAlignment="1">
      <alignment horizontal="center" vertical="center"/>
    </xf>
    <xf numFmtId="2" fontId="0" fillId="4" borderId="10" xfId="0" applyNumberFormat="1" applyFont="1" applyFill="1" applyBorder="1" applyAlignment="1">
      <alignment horizontal="center" vertical="center"/>
    </xf>
    <xf numFmtId="2" fontId="0" fillId="4" borderId="0" xfId="0" applyNumberFormat="1" applyFont="1" applyFill="1" applyAlignment="1">
      <alignment horizontal="center" vertical="center"/>
    </xf>
    <xf numFmtId="2" fontId="2" fillId="4" borderId="4" xfId="0" applyNumberFormat="1" applyFont="1" applyFill="1" applyBorder="1" applyAlignment="1">
      <alignment horizontal="center" vertical="center"/>
    </xf>
    <xf numFmtId="2" fontId="2" fillId="0" borderId="7" xfId="0" applyNumberFormat="1" applyFont="1" applyBorder="1" applyAlignment="1">
      <alignment horizontal="center" vertical="center"/>
    </xf>
    <xf numFmtId="2" fontId="7" fillId="4" borderId="10" xfId="0" applyNumberFormat="1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4" borderId="4" xfId="0" applyFont="1" applyFill="1" applyBorder="1" applyAlignment="1">
      <alignment vertical="center"/>
    </xf>
    <xf numFmtId="0" fontId="0" fillId="4" borderId="7" xfId="0" applyFont="1" applyFill="1" applyBorder="1" applyAlignment="1">
      <alignment vertical="center"/>
    </xf>
    <xf numFmtId="0" fontId="0" fillId="0" borderId="0" xfId="0" applyFont="1" applyBorder="1" applyAlignment="1">
      <alignment vertical="center"/>
    </xf>
    <xf numFmtId="0" fontId="0" fillId="4" borderId="0" xfId="0" applyFont="1" applyFill="1" applyBorder="1" applyAlignment="1">
      <alignment vertical="center"/>
    </xf>
    <xf numFmtId="2" fontId="11" fillId="0" borderId="0" xfId="0" applyNumberFormat="1" applyFont="1" applyBorder="1" applyAlignment="1">
      <alignment vertical="center"/>
    </xf>
    <xf numFmtId="2" fontId="11" fillId="4" borderId="7" xfId="0" applyNumberFormat="1" applyFont="1" applyFill="1" applyBorder="1" applyAlignment="1">
      <alignment vertical="center"/>
    </xf>
    <xf numFmtId="2" fontId="7" fillId="4" borderId="0" xfId="0" applyNumberFormat="1" applyFont="1" applyFill="1" applyBorder="1" applyAlignment="1">
      <alignment vertical="center"/>
    </xf>
    <xf numFmtId="2" fontId="11" fillId="4" borderId="0" xfId="0" applyNumberFormat="1" applyFont="1" applyFill="1" applyBorder="1" applyAlignment="1">
      <alignment vertical="center"/>
    </xf>
    <xf numFmtId="0" fontId="0" fillId="4" borderId="9" xfId="0" applyFont="1" applyFill="1" applyBorder="1" applyAlignment="1">
      <alignment vertical="center"/>
    </xf>
    <xf numFmtId="2" fontId="11" fillId="4" borderId="9" xfId="0" applyNumberFormat="1" applyFont="1" applyFill="1" applyBorder="1" applyAlignment="1">
      <alignment vertical="center"/>
    </xf>
    <xf numFmtId="0" fontId="0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0" fillId="0" borderId="8" xfId="0" applyFont="1" applyBorder="1" applyAlignment="1">
      <alignment horizontal="center" vertical="center"/>
    </xf>
    <xf numFmtId="2" fontId="7" fillId="0" borderId="0" xfId="0" applyNumberFormat="1" applyFont="1" applyAlignment="1">
      <alignment vertical="center"/>
    </xf>
    <xf numFmtId="2" fontId="11" fillId="0" borderId="0" xfId="0" applyNumberFormat="1" applyFont="1" applyAlignment="1">
      <alignment vertical="center"/>
    </xf>
    <xf numFmtId="0" fontId="11" fillId="0" borderId="0" xfId="0" applyFont="1" applyBorder="1" applyAlignment="1">
      <alignment vertical="center"/>
    </xf>
    <xf numFmtId="2" fontId="11" fillId="4" borderId="7" xfId="0" applyNumberFormat="1" applyFont="1" applyFill="1" applyBorder="1" applyAlignment="1">
      <alignment horizontal="center" vertical="center"/>
    </xf>
    <xf numFmtId="2" fontId="11" fillId="4" borderId="9" xfId="0" applyNumberFormat="1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0" fillId="4" borderId="8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/>
    </xf>
    <xf numFmtId="0" fontId="0" fillId="4" borderId="6" xfId="0" applyFont="1" applyFill="1" applyBorder="1" applyAlignment="1">
      <alignment horizontal="center"/>
    </xf>
    <xf numFmtId="0" fontId="0" fillId="4" borderId="8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vertical="center"/>
    </xf>
    <xf numFmtId="0" fontId="0" fillId="4" borderId="0" xfId="0" applyFill="1" applyBorder="1"/>
    <xf numFmtId="0" fontId="0" fillId="4" borderId="7" xfId="0" applyFill="1" applyBorder="1"/>
    <xf numFmtId="0" fontId="0" fillId="4" borderId="8" xfId="0" applyFill="1" applyBorder="1"/>
    <xf numFmtId="0" fontId="0" fillId="4" borderId="9" xfId="0" applyFill="1" applyBorder="1"/>
    <xf numFmtId="2" fontId="7" fillId="0" borderId="0" xfId="0" applyNumberFormat="1" applyFont="1" applyFill="1" applyBorder="1" applyAlignment="1">
      <alignment horizontal="center"/>
    </xf>
    <xf numFmtId="0" fontId="3" fillId="0" borderId="0" xfId="0" applyFont="1" applyAlignment="1">
      <alignment horizontal="left" vertical="center"/>
    </xf>
    <xf numFmtId="2" fontId="11" fillId="0" borderId="0" xfId="0" applyNumberFormat="1" applyFont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/>
    </xf>
    <xf numFmtId="0" fontId="14" fillId="0" borderId="0" xfId="0" applyFont="1" applyBorder="1" applyAlignment="1">
      <alignment horizontal="center" vertical="center"/>
    </xf>
    <xf numFmtId="2" fontId="0" fillId="0" borderId="0" xfId="0" applyNumberFormat="1" applyFont="1" applyFill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B32E6-3E26-43A2-BFBD-8AE1FBA520BD}">
  <dimension ref="A1:K65"/>
  <sheetViews>
    <sheetView tabSelected="1" zoomScale="80" zoomScaleNormal="80" workbookViewId="0"/>
  </sheetViews>
  <sheetFormatPr defaultRowHeight="15" x14ac:dyDescent="0.25"/>
  <cols>
    <col min="1" max="1" width="3.42578125" style="122" customWidth="1"/>
    <col min="2" max="2" width="20.7109375" customWidth="1"/>
    <col min="4" max="4" width="10.42578125" bestFit="1" customWidth="1"/>
    <col min="5" max="5" width="29.5703125" customWidth="1"/>
    <col min="6" max="6" width="22.28515625" customWidth="1"/>
    <col min="7" max="7" width="17.5703125" bestFit="1" customWidth="1"/>
    <col min="8" max="8" width="11" bestFit="1" customWidth="1"/>
    <col min="9" max="9" width="17.42578125" bestFit="1" customWidth="1"/>
    <col min="10" max="10" width="18.42578125" bestFit="1" customWidth="1"/>
    <col min="11" max="11" width="17.5703125" bestFit="1" customWidth="1"/>
    <col min="12" max="12" width="7.7109375" bestFit="1" customWidth="1"/>
  </cols>
  <sheetData>
    <row r="1" spans="2:11" s="122" customFormat="1" x14ac:dyDescent="0.25"/>
    <row r="2" spans="2:11" x14ac:dyDescent="0.25">
      <c r="B2" s="327" t="s">
        <v>2</v>
      </c>
      <c r="C2" s="297" t="s">
        <v>197</v>
      </c>
      <c r="D2" s="328"/>
      <c r="F2" s="327" t="s">
        <v>2</v>
      </c>
      <c r="G2" s="329" t="s">
        <v>199</v>
      </c>
      <c r="H2" s="255"/>
      <c r="I2" s="255"/>
      <c r="J2" s="298"/>
      <c r="K2" s="298"/>
    </row>
    <row r="3" spans="2:11" x14ac:dyDescent="0.25">
      <c r="B3" s="330" t="s">
        <v>4</v>
      </c>
      <c r="C3" s="314" t="s">
        <v>51</v>
      </c>
      <c r="D3" s="315" t="s">
        <v>198</v>
      </c>
      <c r="F3" s="330" t="s">
        <v>4</v>
      </c>
      <c r="G3" s="314" t="s">
        <v>51</v>
      </c>
      <c r="H3" s="312" t="s">
        <v>200</v>
      </c>
      <c r="I3" s="312" t="s">
        <v>201</v>
      </c>
      <c r="J3" s="312" t="s">
        <v>202</v>
      </c>
      <c r="K3" s="315" t="s">
        <v>203</v>
      </c>
    </row>
    <row r="4" spans="2:11" x14ac:dyDescent="0.25">
      <c r="B4" s="331"/>
      <c r="C4" s="118" t="s">
        <v>5</v>
      </c>
      <c r="D4" s="145">
        <v>0.82</v>
      </c>
      <c r="F4" s="331"/>
      <c r="G4" s="118" t="s">
        <v>5</v>
      </c>
      <c r="H4" s="144">
        <v>74928</v>
      </c>
      <c r="I4" s="144">
        <v>50298</v>
      </c>
      <c r="J4" s="144">
        <v>12978</v>
      </c>
      <c r="K4" s="145">
        <v>2589</v>
      </c>
    </row>
    <row r="5" spans="2:11" x14ac:dyDescent="0.25">
      <c r="B5" s="332"/>
      <c r="C5" s="117" t="s">
        <v>6</v>
      </c>
      <c r="D5" s="147">
        <v>1.0900000000000001</v>
      </c>
      <c r="F5" s="332"/>
      <c r="G5" s="117" t="s">
        <v>6</v>
      </c>
      <c r="H5" s="146">
        <v>40860</v>
      </c>
      <c r="I5" s="146">
        <v>39576</v>
      </c>
      <c r="J5" s="146">
        <v>17148</v>
      </c>
      <c r="K5" s="147">
        <v>3306</v>
      </c>
    </row>
    <row r="6" spans="2:11" x14ac:dyDescent="0.25">
      <c r="B6" s="332"/>
      <c r="C6" s="117" t="s">
        <v>7</v>
      </c>
      <c r="D6" s="147">
        <v>0.8</v>
      </c>
      <c r="F6" s="332"/>
      <c r="G6" s="117" t="s">
        <v>7</v>
      </c>
      <c r="H6" s="146">
        <v>30744</v>
      </c>
      <c r="I6" s="146">
        <v>18978</v>
      </c>
      <c r="J6" s="146">
        <v>4014</v>
      </c>
      <c r="K6" s="147">
        <v>2016</v>
      </c>
    </row>
    <row r="7" spans="2:11" x14ac:dyDescent="0.25">
      <c r="B7" s="332"/>
      <c r="C7" s="117" t="s">
        <v>8</v>
      </c>
      <c r="D7" s="147">
        <v>1.73</v>
      </c>
      <c r="F7" s="332"/>
      <c r="G7" s="117" t="s">
        <v>8</v>
      </c>
      <c r="H7" s="146">
        <v>139704</v>
      </c>
      <c r="I7" s="146">
        <v>89220</v>
      </c>
      <c r="J7" s="146">
        <v>26760</v>
      </c>
      <c r="K7" s="147">
        <v>3591</v>
      </c>
    </row>
    <row r="8" spans="2:11" x14ac:dyDescent="0.25">
      <c r="B8" s="332"/>
      <c r="C8" s="117" t="s">
        <v>14</v>
      </c>
      <c r="D8" s="147">
        <v>1.39</v>
      </c>
      <c r="F8" s="332"/>
      <c r="G8" s="117" t="s">
        <v>14</v>
      </c>
      <c r="H8" s="146">
        <v>178830</v>
      </c>
      <c r="I8" s="146">
        <v>127248</v>
      </c>
      <c r="J8" s="146">
        <v>25404</v>
      </c>
      <c r="K8" s="147">
        <v>3903</v>
      </c>
    </row>
    <row r="9" spans="2:11" x14ac:dyDescent="0.25">
      <c r="B9" s="332"/>
      <c r="C9" s="117" t="s">
        <v>15</v>
      </c>
      <c r="D9" s="147">
        <v>1.58</v>
      </c>
      <c r="F9" s="332"/>
      <c r="G9" s="117" t="s">
        <v>15</v>
      </c>
      <c r="H9" s="146">
        <v>197124</v>
      </c>
      <c r="I9" s="146">
        <v>119076</v>
      </c>
      <c r="J9" s="146">
        <v>23586</v>
      </c>
      <c r="K9" s="147">
        <v>3519</v>
      </c>
    </row>
    <row r="10" spans="2:11" x14ac:dyDescent="0.25">
      <c r="B10" s="332"/>
      <c r="C10" s="117" t="s">
        <v>19</v>
      </c>
      <c r="D10" s="147">
        <v>1.83</v>
      </c>
      <c r="F10" s="332"/>
      <c r="G10" s="117" t="s">
        <v>19</v>
      </c>
      <c r="H10" s="146">
        <v>236904</v>
      </c>
      <c r="I10" s="146">
        <v>168114</v>
      </c>
      <c r="J10" s="146">
        <v>9774</v>
      </c>
      <c r="K10" s="147">
        <v>1365</v>
      </c>
    </row>
    <row r="11" spans="2:11" x14ac:dyDescent="0.25">
      <c r="B11" s="332"/>
      <c r="C11" s="117" t="s">
        <v>21</v>
      </c>
      <c r="D11" s="147">
        <v>0.55000000000000004</v>
      </c>
      <c r="F11" s="332"/>
      <c r="G11" s="117" t="s">
        <v>21</v>
      </c>
      <c r="H11" s="146">
        <v>46488</v>
      </c>
      <c r="I11" s="146">
        <v>30510</v>
      </c>
      <c r="J11" s="146">
        <v>4446</v>
      </c>
      <c r="K11" s="147">
        <v>786</v>
      </c>
    </row>
    <row r="12" spans="2:11" x14ac:dyDescent="0.25">
      <c r="B12" s="332"/>
      <c r="C12" s="246"/>
      <c r="D12" s="147"/>
      <c r="F12" s="332"/>
      <c r="G12" s="146"/>
      <c r="H12" s="146"/>
      <c r="I12" s="146"/>
      <c r="J12" s="146"/>
      <c r="K12" s="147"/>
    </row>
    <row r="13" spans="2:11" x14ac:dyDescent="0.25">
      <c r="B13" s="332"/>
      <c r="C13" s="175" t="s">
        <v>56</v>
      </c>
      <c r="D13" s="176">
        <f>AVERAGE(D4:D11)</f>
        <v>1.2237499999999999</v>
      </c>
      <c r="F13" s="332"/>
      <c r="G13" s="175" t="s">
        <v>56</v>
      </c>
      <c r="H13" s="175">
        <f>AVERAGE(H4:H11)</f>
        <v>118197.75</v>
      </c>
      <c r="I13" s="175">
        <f>AVERAGE(I4:I11)</f>
        <v>80377.5</v>
      </c>
      <c r="J13" s="175">
        <f>AVERAGE(J4:J11)</f>
        <v>15513.75</v>
      </c>
      <c r="K13" s="176">
        <f>AVERAGE(K4:K11)</f>
        <v>2634.375</v>
      </c>
    </row>
    <row r="14" spans="2:11" x14ac:dyDescent="0.25">
      <c r="B14" s="332"/>
      <c r="C14" s="146" t="s">
        <v>22</v>
      </c>
      <c r="D14" s="147">
        <f>_xlfn.STDEV.S(D4:D11)</f>
        <v>0.47701265332124254</v>
      </c>
      <c r="F14" s="332"/>
      <c r="G14" s="146" t="s">
        <v>22</v>
      </c>
      <c r="H14" s="146">
        <f>_xlfn.STDEV.S(H4:H11)</f>
        <v>80270.222847134122</v>
      </c>
      <c r="I14" s="146">
        <f>_xlfn.STDEV.S(I4:I11)</f>
        <v>53847.013168260848</v>
      </c>
      <c r="J14" s="146">
        <f>_xlfn.STDEV.S(J4:J11)</f>
        <v>9151.4345128431723</v>
      </c>
      <c r="K14" s="147">
        <f>_xlfn.STDEV.S(K4:K11)</f>
        <v>1144.5792661185906</v>
      </c>
    </row>
    <row r="15" spans="2:11" x14ac:dyDescent="0.25">
      <c r="B15" s="334"/>
      <c r="C15" s="177" t="s">
        <v>9</v>
      </c>
      <c r="D15" s="178">
        <f>D14/(SQRT(8))</f>
        <v>0.16864944093761913</v>
      </c>
      <c r="F15" s="334"/>
      <c r="G15" s="177" t="s">
        <v>9</v>
      </c>
      <c r="H15" s="177">
        <f>H14/(SQRT(COUNT(H4:H11)))</f>
        <v>28379.809451281937</v>
      </c>
      <c r="I15" s="177">
        <f>I14/(SQRT(COUNT(I4:I11)))</f>
        <v>19037.794078959283</v>
      </c>
      <c r="J15" s="177">
        <f>J14/(SQRT(COUNT(J4:J11)))</f>
        <v>3235.5207008080079</v>
      </c>
      <c r="K15" s="178">
        <f>K14/(SQRT(COUNT(K4:K11)))</f>
        <v>404.66988033898866</v>
      </c>
    </row>
    <row r="16" spans="2:11" x14ac:dyDescent="0.25">
      <c r="B16" s="330" t="s">
        <v>25</v>
      </c>
      <c r="C16" s="314" t="s">
        <v>51</v>
      </c>
      <c r="D16" s="315" t="s">
        <v>198</v>
      </c>
      <c r="F16" s="330" t="s">
        <v>25</v>
      </c>
      <c r="G16" s="314" t="s">
        <v>51</v>
      </c>
      <c r="H16" s="312" t="s">
        <v>200</v>
      </c>
      <c r="I16" s="312" t="s">
        <v>201</v>
      </c>
      <c r="J16" s="312" t="s">
        <v>202</v>
      </c>
      <c r="K16" s="315" t="s">
        <v>203</v>
      </c>
    </row>
    <row r="17" spans="2:11" x14ac:dyDescent="0.25">
      <c r="B17" s="331"/>
      <c r="C17" s="118" t="s">
        <v>5</v>
      </c>
      <c r="D17" s="145">
        <v>2.3199999999999998</v>
      </c>
      <c r="F17" s="331"/>
      <c r="G17" s="118" t="s">
        <v>5</v>
      </c>
      <c r="H17" s="144">
        <v>313488</v>
      </c>
      <c r="I17" s="144">
        <v>223854</v>
      </c>
      <c r="J17" s="144">
        <v>52812</v>
      </c>
      <c r="K17" s="145">
        <v>5607</v>
      </c>
    </row>
    <row r="18" spans="2:11" x14ac:dyDescent="0.25">
      <c r="B18" s="332"/>
      <c r="C18" s="117" t="s">
        <v>6</v>
      </c>
      <c r="D18" s="147">
        <v>2.77</v>
      </c>
      <c r="F18" s="332"/>
      <c r="G18" s="117" t="s">
        <v>6</v>
      </c>
      <c r="H18" s="146">
        <v>211854</v>
      </c>
      <c r="I18" s="146">
        <v>133410</v>
      </c>
      <c r="J18" s="146">
        <v>36528</v>
      </c>
      <c r="K18" s="147">
        <v>2595</v>
      </c>
    </row>
    <row r="19" spans="2:11" x14ac:dyDescent="0.25">
      <c r="B19" s="332"/>
      <c r="C19" s="117" t="s">
        <v>7</v>
      </c>
      <c r="D19" s="147">
        <v>2.0099999999999998</v>
      </c>
      <c r="F19" s="332"/>
      <c r="G19" s="117" t="s">
        <v>7</v>
      </c>
      <c r="H19" s="146">
        <v>292656</v>
      </c>
      <c r="I19" s="146">
        <v>160572</v>
      </c>
      <c r="J19" s="146">
        <v>12726</v>
      </c>
      <c r="K19" s="147">
        <v>1140</v>
      </c>
    </row>
    <row r="20" spans="2:11" x14ac:dyDescent="0.25">
      <c r="B20" s="332"/>
      <c r="C20" s="117" t="s">
        <v>8</v>
      </c>
      <c r="D20" s="147">
        <v>2.5099999999999998</v>
      </c>
      <c r="F20" s="332"/>
      <c r="G20" s="117" t="s">
        <v>8</v>
      </c>
      <c r="H20" s="146">
        <v>228276</v>
      </c>
      <c r="I20" s="146">
        <v>104778</v>
      </c>
      <c r="J20" s="146">
        <v>60678</v>
      </c>
      <c r="K20" s="147">
        <v>4287</v>
      </c>
    </row>
    <row r="21" spans="2:11" x14ac:dyDescent="0.25">
      <c r="B21" s="332"/>
      <c r="C21" s="117" t="s">
        <v>14</v>
      </c>
      <c r="D21" s="147">
        <v>2.73</v>
      </c>
      <c r="F21" s="332"/>
      <c r="G21" s="117" t="s">
        <v>14</v>
      </c>
      <c r="H21" s="146">
        <v>577482</v>
      </c>
      <c r="I21" s="146">
        <v>236940</v>
      </c>
      <c r="J21" s="146">
        <v>21366</v>
      </c>
      <c r="K21" s="147">
        <v>969</v>
      </c>
    </row>
    <row r="22" spans="2:11" x14ac:dyDescent="0.25">
      <c r="B22" s="332"/>
      <c r="C22" s="146"/>
      <c r="D22" s="147"/>
      <c r="F22" s="332"/>
      <c r="G22" s="146"/>
      <c r="H22" s="146"/>
      <c r="I22" s="146"/>
      <c r="J22" s="146"/>
      <c r="K22" s="147"/>
    </row>
    <row r="23" spans="2:11" x14ac:dyDescent="0.25">
      <c r="B23" s="332"/>
      <c r="C23" s="175" t="s">
        <v>56</v>
      </c>
      <c r="D23" s="176">
        <f>AVERAGE(D17:D21)</f>
        <v>2.468</v>
      </c>
      <c r="F23" s="332"/>
      <c r="G23" s="175" t="s">
        <v>56</v>
      </c>
      <c r="H23" s="175">
        <f>AVERAGE(H17:H21)</f>
        <v>324751.2</v>
      </c>
      <c r="I23" s="175">
        <f>AVERAGE(I17:I21)</f>
        <v>171910.8</v>
      </c>
      <c r="J23" s="175">
        <f>AVERAGE(J17:J21)</f>
        <v>36822</v>
      </c>
      <c r="K23" s="176">
        <f>AVERAGE(K17:K21)</f>
        <v>2919.6</v>
      </c>
    </row>
    <row r="24" spans="2:11" x14ac:dyDescent="0.25">
      <c r="B24" s="301"/>
      <c r="C24" s="146" t="s">
        <v>22</v>
      </c>
      <c r="D24" s="147">
        <f>_xlfn.STDEV.S(D17:D21)</f>
        <v>0.31356020155625508</v>
      </c>
      <c r="F24" s="332"/>
      <c r="G24" s="146" t="s">
        <v>22</v>
      </c>
      <c r="H24" s="146">
        <f>_xlfn.STDEV.S(H17:H21)</f>
        <v>147549.1958541286</v>
      </c>
      <c r="I24" s="146">
        <f>_xlfn.STDEV.S(I17:I21)</f>
        <v>57106.448192826676</v>
      </c>
      <c r="J24" s="146">
        <f>_xlfn.STDEV.S(J17:J21)</f>
        <v>20275.480413543843</v>
      </c>
      <c r="K24" s="147">
        <f>_xlfn.STDEV.S(K17:K21)</f>
        <v>2010.5399274821677</v>
      </c>
    </row>
    <row r="25" spans="2:11" x14ac:dyDescent="0.25">
      <c r="B25" s="335"/>
      <c r="C25" s="177" t="s">
        <v>9</v>
      </c>
      <c r="D25" s="178">
        <f>D24/(SQRT(5))</f>
        <v>0.14022838514366434</v>
      </c>
      <c r="F25" s="334"/>
      <c r="G25" s="177" t="s">
        <v>9</v>
      </c>
      <c r="H25" s="177">
        <f>H24/(SQRT(COUNT(H17:H21)))</f>
        <v>65986.006391052331</v>
      </c>
      <c r="I25" s="177">
        <f>I24/(SQRT(COUNT(I17:I21)))</f>
        <v>25538.780022546092</v>
      </c>
      <c r="J25" s="177">
        <f>J24/(SQRT(COUNT(J17:J21)))</f>
        <v>9067.4704962299147</v>
      </c>
      <c r="K25" s="178">
        <f>K24/(SQRT(COUNT(K17:K21)))</f>
        <v>899.14078986552488</v>
      </c>
    </row>
    <row r="27" spans="2:11" x14ac:dyDescent="0.25">
      <c r="B27" s="327" t="s">
        <v>2</v>
      </c>
      <c r="C27" s="297" t="s">
        <v>272</v>
      </c>
      <c r="D27" s="328"/>
      <c r="E27" s="122"/>
    </row>
    <row r="28" spans="2:11" ht="30" x14ac:dyDescent="0.25">
      <c r="B28" s="4" t="s">
        <v>4</v>
      </c>
      <c r="C28" s="8" t="s">
        <v>263</v>
      </c>
      <c r="D28" s="6" t="s">
        <v>29</v>
      </c>
    </row>
    <row r="29" spans="2:11" x14ac:dyDescent="0.25">
      <c r="B29" s="201"/>
      <c r="C29" s="102" t="s">
        <v>5</v>
      </c>
      <c r="D29" s="145">
        <v>31.8</v>
      </c>
    </row>
    <row r="30" spans="2:11" x14ac:dyDescent="0.25">
      <c r="B30" s="202"/>
      <c r="C30" s="104" t="s">
        <v>6</v>
      </c>
      <c r="D30" s="147">
        <v>35.5</v>
      </c>
    </row>
    <row r="31" spans="2:11" x14ac:dyDescent="0.25">
      <c r="B31" s="202"/>
      <c r="C31" s="104" t="s">
        <v>7</v>
      </c>
      <c r="D31" s="147">
        <v>34.4</v>
      </c>
    </row>
    <row r="32" spans="2:11" x14ac:dyDescent="0.25">
      <c r="B32" s="202"/>
      <c r="C32" s="104" t="s">
        <v>8</v>
      </c>
      <c r="D32" s="147">
        <v>36.04</v>
      </c>
    </row>
    <row r="33" spans="2:4" x14ac:dyDescent="0.25">
      <c r="B33" s="202"/>
      <c r="C33" s="104" t="s">
        <v>14</v>
      </c>
      <c r="D33" s="147">
        <v>28</v>
      </c>
    </row>
    <row r="34" spans="2:4" x14ac:dyDescent="0.25">
      <c r="B34" s="202"/>
      <c r="C34" s="104" t="s">
        <v>15</v>
      </c>
      <c r="D34" s="147">
        <v>30</v>
      </c>
    </row>
    <row r="35" spans="2:4" x14ac:dyDescent="0.25">
      <c r="B35" s="202"/>
      <c r="C35" s="104" t="s">
        <v>19</v>
      </c>
      <c r="D35" s="147">
        <v>30</v>
      </c>
    </row>
    <row r="36" spans="2:4" x14ac:dyDescent="0.25">
      <c r="B36" s="202"/>
      <c r="C36" s="104" t="s">
        <v>21</v>
      </c>
      <c r="D36" s="147">
        <v>31</v>
      </c>
    </row>
    <row r="37" spans="2:4" x14ac:dyDescent="0.25">
      <c r="B37" s="202"/>
      <c r="C37" s="104" t="s">
        <v>23</v>
      </c>
      <c r="D37" s="147">
        <v>31</v>
      </c>
    </row>
    <row r="38" spans="2:4" x14ac:dyDescent="0.25">
      <c r="B38" s="202"/>
      <c r="C38" s="104" t="s">
        <v>24</v>
      </c>
      <c r="D38" s="147">
        <v>33</v>
      </c>
    </row>
    <row r="39" spans="2:4" x14ac:dyDescent="0.25">
      <c r="B39" s="202"/>
      <c r="C39" s="104"/>
      <c r="D39" s="147"/>
    </row>
    <row r="40" spans="2:4" x14ac:dyDescent="0.25">
      <c r="B40" s="202"/>
      <c r="C40" s="175" t="s">
        <v>56</v>
      </c>
      <c r="D40" s="176">
        <f>AVERAGE(D29:D38)</f>
        <v>32.073999999999998</v>
      </c>
    </row>
    <row r="41" spans="2:4" x14ac:dyDescent="0.25">
      <c r="B41" s="202"/>
      <c r="C41" s="146" t="s">
        <v>22</v>
      </c>
      <c r="D41" s="147">
        <f>_xlfn.STDEV.S(D29:D38)</f>
        <v>2.6101690026169226</v>
      </c>
    </row>
    <row r="42" spans="2:4" x14ac:dyDescent="0.25">
      <c r="B42" s="203"/>
      <c r="C42" s="177" t="s">
        <v>9</v>
      </c>
      <c r="D42" s="178">
        <f>D41/(SQRT(10))</f>
        <v>0.82540791262394742</v>
      </c>
    </row>
    <row r="43" spans="2:4" ht="30" x14ac:dyDescent="0.25">
      <c r="B43" s="454" t="s">
        <v>25</v>
      </c>
      <c r="C43" s="74" t="s">
        <v>263</v>
      </c>
      <c r="D43" s="377" t="s">
        <v>29</v>
      </c>
    </row>
    <row r="44" spans="2:4" x14ac:dyDescent="0.25">
      <c r="B44" s="201"/>
      <c r="C44" s="102" t="s">
        <v>5</v>
      </c>
      <c r="D44" s="452">
        <v>38.799999999999997</v>
      </c>
    </row>
    <row r="45" spans="2:4" x14ac:dyDescent="0.25">
      <c r="B45" s="202"/>
      <c r="C45" s="104" t="s">
        <v>6</v>
      </c>
      <c r="D45" s="453">
        <v>42.9</v>
      </c>
    </row>
    <row r="46" spans="2:4" x14ac:dyDescent="0.25">
      <c r="B46" s="202"/>
      <c r="C46" s="104" t="s">
        <v>7</v>
      </c>
      <c r="D46" s="453">
        <v>38.92</v>
      </c>
    </row>
    <row r="47" spans="2:4" x14ac:dyDescent="0.25">
      <c r="B47" s="202"/>
      <c r="C47" s="104" t="s">
        <v>8</v>
      </c>
      <c r="D47" s="453">
        <v>43.74</v>
      </c>
    </row>
    <row r="48" spans="2:4" x14ac:dyDescent="0.25">
      <c r="B48" s="202"/>
      <c r="C48" s="104" t="s">
        <v>14</v>
      </c>
      <c r="D48" s="453">
        <v>40.89</v>
      </c>
    </row>
    <row r="49" spans="2:4" x14ac:dyDescent="0.25">
      <c r="B49" s="202"/>
      <c r="C49" s="104" t="s">
        <v>15</v>
      </c>
      <c r="D49" s="453">
        <v>41</v>
      </c>
    </row>
    <row r="50" spans="2:4" x14ac:dyDescent="0.25">
      <c r="B50" s="202"/>
      <c r="C50" s="104" t="s">
        <v>19</v>
      </c>
      <c r="D50" s="453">
        <v>41</v>
      </c>
    </row>
    <row r="51" spans="2:4" x14ac:dyDescent="0.25">
      <c r="B51" s="202"/>
      <c r="C51" s="104" t="s">
        <v>21</v>
      </c>
      <c r="D51" s="453">
        <v>45</v>
      </c>
    </row>
    <row r="52" spans="2:4" x14ac:dyDescent="0.25">
      <c r="B52" s="202"/>
      <c r="C52" s="104" t="s">
        <v>23</v>
      </c>
      <c r="D52" s="453">
        <v>42</v>
      </c>
    </row>
    <row r="53" spans="2:4" x14ac:dyDescent="0.25">
      <c r="B53" s="202"/>
      <c r="C53" s="104" t="s">
        <v>24</v>
      </c>
      <c r="D53" s="453">
        <v>44</v>
      </c>
    </row>
    <row r="54" spans="2:4" x14ac:dyDescent="0.25">
      <c r="B54" s="202"/>
      <c r="C54" s="104" t="s">
        <v>26</v>
      </c>
      <c r="D54" s="453">
        <v>35</v>
      </c>
    </row>
    <row r="55" spans="2:4" x14ac:dyDescent="0.25">
      <c r="B55" s="202"/>
      <c r="C55" s="104" t="s">
        <v>27</v>
      </c>
      <c r="D55" s="453">
        <v>39</v>
      </c>
    </row>
    <row r="56" spans="2:4" x14ac:dyDescent="0.25">
      <c r="B56" s="202"/>
      <c r="C56" s="104" t="s">
        <v>28</v>
      </c>
      <c r="D56" s="453">
        <v>42</v>
      </c>
    </row>
    <row r="57" spans="2:4" x14ac:dyDescent="0.25">
      <c r="B57" s="202"/>
      <c r="C57" s="104" t="s">
        <v>30</v>
      </c>
      <c r="D57" s="453">
        <v>33</v>
      </c>
    </row>
    <row r="58" spans="2:4" x14ac:dyDescent="0.25">
      <c r="B58" s="202"/>
      <c r="C58" s="104" t="s">
        <v>31</v>
      </c>
      <c r="D58" s="453">
        <v>45</v>
      </c>
    </row>
    <row r="59" spans="2:4" x14ac:dyDescent="0.25">
      <c r="B59" s="202"/>
      <c r="C59" s="104" t="s">
        <v>32</v>
      </c>
      <c r="D59" s="453">
        <v>45</v>
      </c>
    </row>
    <row r="60" spans="2:4" x14ac:dyDescent="0.25">
      <c r="B60" s="202"/>
      <c r="C60" s="104" t="s">
        <v>33</v>
      </c>
      <c r="D60" s="453">
        <v>44</v>
      </c>
    </row>
    <row r="61" spans="2:4" x14ac:dyDescent="0.25">
      <c r="B61" s="202"/>
      <c r="C61" s="104" t="s">
        <v>34</v>
      </c>
      <c r="D61" s="453">
        <v>49</v>
      </c>
    </row>
    <row r="62" spans="2:4" x14ac:dyDescent="0.25">
      <c r="B62" s="456"/>
      <c r="C62" s="455"/>
      <c r="D62" s="457"/>
    </row>
    <row r="63" spans="2:4" x14ac:dyDescent="0.25">
      <c r="B63" s="456"/>
      <c r="C63" s="175" t="s">
        <v>56</v>
      </c>
      <c r="D63" s="176">
        <f>AVERAGE(D44:D61)</f>
        <v>41.680555555555557</v>
      </c>
    </row>
    <row r="64" spans="2:4" x14ac:dyDescent="0.25">
      <c r="B64" s="456"/>
      <c r="C64" s="146" t="s">
        <v>22</v>
      </c>
      <c r="D64" s="147">
        <f>_xlfn.STDEV.S(D44:D61)</f>
        <v>3.8191413759735582</v>
      </c>
    </row>
    <row r="65" spans="2:4" x14ac:dyDescent="0.25">
      <c r="B65" s="458"/>
      <c r="C65" s="177" t="s">
        <v>9</v>
      </c>
      <c r="D65" s="178">
        <f>D64/(SQRT(18))</f>
        <v>0.90018025508700839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B2:L43"/>
  <sheetViews>
    <sheetView zoomScale="64" zoomScaleNormal="64" workbookViewId="0"/>
  </sheetViews>
  <sheetFormatPr defaultColWidth="9.140625" defaultRowHeight="15" x14ac:dyDescent="0.25"/>
  <cols>
    <col min="1" max="1" width="2" style="255" customWidth="1"/>
    <col min="2" max="2" width="21.5703125" style="255" customWidth="1"/>
    <col min="3" max="3" width="17.7109375" style="255" bestFit="1" customWidth="1"/>
    <col min="4" max="4" width="38.140625" style="255" bestFit="1" customWidth="1"/>
    <col min="5" max="5" width="1.5703125" style="255" customWidth="1"/>
    <col min="6" max="6" width="23.7109375" style="255" bestFit="1" customWidth="1"/>
    <col min="7" max="7" width="17.7109375" style="255" bestFit="1" customWidth="1"/>
    <col min="8" max="8" width="41.28515625" style="255" bestFit="1" customWidth="1"/>
    <col min="9" max="9" width="2.140625" style="255" customWidth="1"/>
    <col min="10" max="10" width="21.7109375" style="255" bestFit="1" customWidth="1"/>
    <col min="11" max="11" width="17.7109375" style="255" bestFit="1" customWidth="1"/>
    <col min="12" max="12" width="41.28515625" style="255" bestFit="1" customWidth="1"/>
    <col min="13" max="16384" width="9.140625" style="255"/>
  </cols>
  <sheetData>
    <row r="2" spans="2:12" x14ac:dyDescent="0.25">
      <c r="B2" s="297" t="s">
        <v>16</v>
      </c>
      <c r="C2" s="303"/>
    </row>
    <row r="3" spans="2:12" x14ac:dyDescent="0.25">
      <c r="B3" s="308" t="s">
        <v>1</v>
      </c>
      <c r="C3" s="343"/>
      <c r="D3" s="34"/>
      <c r="E3" s="34"/>
      <c r="F3" s="308" t="s">
        <v>2</v>
      </c>
      <c r="G3" s="343"/>
      <c r="H3" s="34"/>
      <c r="I3" s="34"/>
      <c r="J3" s="308" t="s">
        <v>17</v>
      </c>
      <c r="K3" s="343"/>
      <c r="L3" s="34"/>
    </row>
    <row r="4" spans="2:12" ht="17.25" x14ac:dyDescent="0.25">
      <c r="B4" s="311" t="s">
        <v>4</v>
      </c>
      <c r="C4" s="314" t="s">
        <v>262</v>
      </c>
      <c r="D4" s="313" t="s">
        <v>18</v>
      </c>
      <c r="E4" s="34"/>
      <c r="F4" s="311" t="s">
        <v>4</v>
      </c>
      <c r="G4" s="314" t="s">
        <v>262</v>
      </c>
      <c r="H4" s="313" t="s">
        <v>18</v>
      </c>
      <c r="I4" s="34"/>
      <c r="J4" s="311" t="s">
        <v>4</v>
      </c>
      <c r="K4" s="314" t="s">
        <v>262</v>
      </c>
      <c r="L4" s="313" t="s">
        <v>18</v>
      </c>
    </row>
    <row r="5" spans="2:12" x14ac:dyDescent="0.25">
      <c r="B5" s="291"/>
      <c r="C5" s="118" t="s">
        <v>5</v>
      </c>
      <c r="D5" s="263">
        <v>0.5</v>
      </c>
      <c r="E5" s="34"/>
      <c r="F5" s="291"/>
      <c r="G5" s="118" t="s">
        <v>5</v>
      </c>
      <c r="H5" s="263">
        <v>0.52500000000000002</v>
      </c>
      <c r="I5" s="34"/>
      <c r="J5" s="291"/>
      <c r="K5" s="118" t="s">
        <v>5</v>
      </c>
      <c r="L5" s="263">
        <v>0.45</v>
      </c>
    </row>
    <row r="6" spans="2:12" x14ac:dyDescent="0.25">
      <c r="B6" s="293"/>
      <c r="C6" s="117" t="s">
        <v>6</v>
      </c>
      <c r="D6" s="205">
        <v>0.45</v>
      </c>
      <c r="E6" s="34"/>
      <c r="F6" s="293"/>
      <c r="G6" s="117" t="s">
        <v>6</v>
      </c>
      <c r="H6" s="205">
        <v>0.5</v>
      </c>
      <c r="I6" s="34"/>
      <c r="J6" s="293"/>
      <c r="K6" s="117" t="s">
        <v>6</v>
      </c>
      <c r="L6" s="205">
        <v>0.5</v>
      </c>
    </row>
    <row r="7" spans="2:12" x14ac:dyDescent="0.25">
      <c r="B7" s="293"/>
      <c r="C7" s="117" t="s">
        <v>7</v>
      </c>
      <c r="D7" s="205">
        <v>0.52500000000000002</v>
      </c>
      <c r="E7" s="34"/>
      <c r="F7" s="293"/>
      <c r="G7" s="117" t="s">
        <v>7</v>
      </c>
      <c r="H7" s="205">
        <v>0.52500000000000002</v>
      </c>
      <c r="I7" s="34"/>
      <c r="J7" s="293"/>
      <c r="K7" s="117" t="s">
        <v>7</v>
      </c>
      <c r="L7" s="205">
        <v>0.5</v>
      </c>
    </row>
    <row r="8" spans="2:12" x14ac:dyDescent="0.25">
      <c r="B8" s="293"/>
      <c r="C8" s="117" t="s">
        <v>8</v>
      </c>
      <c r="D8" s="205">
        <v>0.4</v>
      </c>
      <c r="E8" s="34"/>
      <c r="F8" s="293"/>
      <c r="G8" s="117" t="s">
        <v>8</v>
      </c>
      <c r="H8" s="205">
        <v>0.5</v>
      </c>
      <c r="I8" s="34"/>
      <c r="J8" s="293"/>
      <c r="K8" s="117" t="s">
        <v>8</v>
      </c>
      <c r="L8" s="205">
        <v>0.52500000000000002</v>
      </c>
    </row>
    <row r="9" spans="2:12" x14ac:dyDescent="0.25">
      <c r="B9" s="293"/>
      <c r="C9" s="117" t="s">
        <v>14</v>
      </c>
      <c r="D9" s="205">
        <v>0.45</v>
      </c>
      <c r="E9" s="34"/>
      <c r="F9" s="293"/>
      <c r="G9" s="117" t="s">
        <v>14</v>
      </c>
      <c r="H9" s="205">
        <v>0.625</v>
      </c>
      <c r="I9" s="34"/>
      <c r="J9" s="293"/>
      <c r="K9" s="117" t="s">
        <v>14</v>
      </c>
      <c r="L9" s="205">
        <v>0.5</v>
      </c>
    </row>
    <row r="10" spans="2:12" x14ac:dyDescent="0.25">
      <c r="B10" s="293"/>
      <c r="C10" s="117" t="s">
        <v>15</v>
      </c>
      <c r="D10" s="205">
        <v>0.4</v>
      </c>
      <c r="E10" s="34"/>
      <c r="F10" s="293"/>
      <c r="G10" s="117" t="s">
        <v>15</v>
      </c>
      <c r="H10" s="205">
        <v>0.52500000000000002</v>
      </c>
      <c r="I10" s="34"/>
      <c r="J10" s="293"/>
      <c r="K10" s="117" t="s">
        <v>15</v>
      </c>
      <c r="L10" s="205">
        <v>0.45</v>
      </c>
    </row>
    <row r="11" spans="2:12" x14ac:dyDescent="0.25">
      <c r="B11" s="293"/>
      <c r="C11" s="117" t="s">
        <v>19</v>
      </c>
      <c r="D11" s="205">
        <v>0.55000000000000004</v>
      </c>
      <c r="E11" s="34"/>
      <c r="F11" s="293"/>
      <c r="G11" s="55" t="s">
        <v>56</v>
      </c>
      <c r="H11" s="17">
        <f>AVERAGE(H5:H10)</f>
        <v>0.53333333333333333</v>
      </c>
      <c r="I11" s="34"/>
      <c r="J11" s="293"/>
      <c r="K11" s="117" t="s">
        <v>19</v>
      </c>
      <c r="L11" s="205">
        <v>0.55000000000000004</v>
      </c>
    </row>
    <row r="12" spans="2:12" x14ac:dyDescent="0.25">
      <c r="B12" s="293"/>
      <c r="C12" s="117" t="s">
        <v>21</v>
      </c>
      <c r="D12" s="205">
        <v>0.45</v>
      </c>
      <c r="E12" s="34"/>
      <c r="F12" s="293"/>
      <c r="G12" s="117" t="s">
        <v>22</v>
      </c>
      <c r="H12" s="205">
        <f>_xlfn.STDEV.S(H5:H10)</f>
        <v>4.6547466812563137E-2</v>
      </c>
      <c r="I12" s="34"/>
      <c r="J12" s="293"/>
      <c r="K12" s="117" t="s">
        <v>21</v>
      </c>
      <c r="L12" s="205">
        <v>0.7</v>
      </c>
    </row>
    <row r="13" spans="2:12" x14ac:dyDescent="0.25">
      <c r="B13" s="293"/>
      <c r="C13" s="117" t="s">
        <v>23</v>
      </c>
      <c r="D13" s="205">
        <v>0.45</v>
      </c>
      <c r="E13" s="34"/>
      <c r="F13" s="344"/>
      <c r="G13" s="56" t="s">
        <v>9</v>
      </c>
      <c r="H13" s="23">
        <f>H12/(SQRT(6))</f>
        <v>1.9002923751652301E-2</v>
      </c>
      <c r="I13" s="34"/>
      <c r="J13" s="293"/>
      <c r="K13" s="117" t="s">
        <v>23</v>
      </c>
      <c r="L13" s="205">
        <v>0.52500000000000002</v>
      </c>
    </row>
    <row r="14" spans="2:12" ht="17.25" x14ac:dyDescent="0.25">
      <c r="B14" s="293"/>
      <c r="C14" s="117" t="s">
        <v>24</v>
      </c>
      <c r="D14" s="205">
        <v>0.4</v>
      </c>
      <c r="E14" s="34"/>
      <c r="F14" s="311" t="s">
        <v>25</v>
      </c>
      <c r="G14" s="314" t="s">
        <v>262</v>
      </c>
      <c r="H14" s="313" t="s">
        <v>18</v>
      </c>
      <c r="I14" s="34"/>
      <c r="J14" s="293"/>
      <c r="K14" s="117" t="s">
        <v>24</v>
      </c>
      <c r="L14" s="205">
        <v>0.55000000000000004</v>
      </c>
    </row>
    <row r="15" spans="2:12" x14ac:dyDescent="0.25">
      <c r="B15" s="293"/>
      <c r="C15" s="55" t="s">
        <v>56</v>
      </c>
      <c r="D15" s="17">
        <f>AVERAGE(D5:D14)</f>
        <v>0.45750000000000013</v>
      </c>
      <c r="E15" s="34"/>
      <c r="F15" s="291"/>
      <c r="G15" s="118" t="s">
        <v>5</v>
      </c>
      <c r="H15" s="263">
        <v>0.85</v>
      </c>
      <c r="I15" s="34"/>
      <c r="J15" s="293"/>
      <c r="K15" s="117" t="s">
        <v>26</v>
      </c>
      <c r="L15" s="205">
        <v>0.55000000000000004</v>
      </c>
    </row>
    <row r="16" spans="2:12" x14ac:dyDescent="0.25">
      <c r="B16" s="293"/>
      <c r="C16" s="117" t="s">
        <v>22</v>
      </c>
      <c r="D16" s="205">
        <f>_xlfn.STDEV.S(D5:D14)</f>
        <v>5.2770467329957833E-2</v>
      </c>
      <c r="E16" s="34"/>
      <c r="F16" s="293"/>
      <c r="G16" s="117" t="s">
        <v>6</v>
      </c>
      <c r="H16" s="205">
        <v>1</v>
      </c>
      <c r="I16" s="34"/>
      <c r="J16" s="293"/>
      <c r="K16" s="117" t="s">
        <v>27</v>
      </c>
      <c r="L16" s="205">
        <v>0.7</v>
      </c>
    </row>
    <row r="17" spans="2:12" x14ac:dyDescent="0.25">
      <c r="B17" s="344"/>
      <c r="C17" s="56" t="s">
        <v>9</v>
      </c>
      <c r="D17" s="23">
        <f>D16/(SQRT(10))</f>
        <v>1.6687486995417094E-2</v>
      </c>
      <c r="E17" s="34"/>
      <c r="F17" s="293"/>
      <c r="G17" s="117" t="s">
        <v>7</v>
      </c>
      <c r="H17" s="205">
        <v>0.9</v>
      </c>
      <c r="I17" s="34"/>
      <c r="J17" s="293"/>
      <c r="K17" s="55" t="s">
        <v>56</v>
      </c>
      <c r="L17" s="17">
        <f>AVERAGE(L5:L16)</f>
        <v>0.54166666666666674</v>
      </c>
    </row>
    <row r="18" spans="2:12" ht="17.25" x14ac:dyDescent="0.25">
      <c r="B18" s="311" t="s">
        <v>25</v>
      </c>
      <c r="C18" s="314" t="s">
        <v>262</v>
      </c>
      <c r="D18" s="313" t="s">
        <v>18</v>
      </c>
      <c r="E18" s="34"/>
      <c r="F18" s="293"/>
      <c r="G18" s="117" t="s">
        <v>8</v>
      </c>
      <c r="H18" s="205">
        <v>1</v>
      </c>
      <c r="I18" s="34"/>
      <c r="J18" s="293"/>
      <c r="K18" s="117" t="s">
        <v>22</v>
      </c>
      <c r="L18" s="205">
        <f>_xlfn.STDEV.S(L5:L16)</f>
        <v>8.1417368409865867E-2</v>
      </c>
    </row>
    <row r="19" spans="2:12" x14ac:dyDescent="0.25">
      <c r="B19" s="291"/>
      <c r="C19" s="118" t="s">
        <v>5</v>
      </c>
      <c r="D19" s="263">
        <v>0.7</v>
      </c>
      <c r="E19" s="34"/>
      <c r="F19" s="293"/>
      <c r="G19" s="117" t="s">
        <v>14</v>
      </c>
      <c r="H19" s="205">
        <v>0.9</v>
      </c>
      <c r="I19" s="34"/>
      <c r="J19" s="344"/>
      <c r="K19" s="56" t="s">
        <v>9</v>
      </c>
      <c r="L19" s="23">
        <f>L18/(SQRT(12))</f>
        <v>2.3503169784073498E-2</v>
      </c>
    </row>
    <row r="20" spans="2:12" ht="17.25" x14ac:dyDescent="0.25">
      <c r="B20" s="293"/>
      <c r="C20" s="117" t="s">
        <v>6</v>
      </c>
      <c r="D20" s="205">
        <v>0.625</v>
      </c>
      <c r="E20" s="34"/>
      <c r="F20" s="293"/>
      <c r="G20" s="117" t="s">
        <v>15</v>
      </c>
      <c r="H20" s="205">
        <v>1</v>
      </c>
      <c r="I20" s="34"/>
      <c r="J20" s="311" t="s">
        <v>25</v>
      </c>
      <c r="K20" s="314" t="s">
        <v>262</v>
      </c>
      <c r="L20" s="313" t="s">
        <v>18</v>
      </c>
    </row>
    <row r="21" spans="2:12" x14ac:dyDescent="0.25">
      <c r="B21" s="293"/>
      <c r="C21" s="117" t="s">
        <v>7</v>
      </c>
      <c r="D21" s="205">
        <v>0.75</v>
      </c>
      <c r="E21" s="34"/>
      <c r="F21" s="293"/>
      <c r="G21" s="117" t="s">
        <v>19</v>
      </c>
      <c r="H21" s="205">
        <v>1</v>
      </c>
      <c r="I21" s="34"/>
      <c r="J21" s="291"/>
      <c r="K21" s="118" t="s">
        <v>5</v>
      </c>
      <c r="L21" s="263">
        <v>1.4</v>
      </c>
    </row>
    <row r="22" spans="2:12" x14ac:dyDescent="0.25">
      <c r="B22" s="293"/>
      <c r="C22" s="117" t="s">
        <v>8</v>
      </c>
      <c r="D22" s="205">
        <v>0.75</v>
      </c>
      <c r="E22" s="34"/>
      <c r="F22" s="293"/>
      <c r="G22" s="117" t="s">
        <v>21</v>
      </c>
      <c r="H22" s="205">
        <v>2.0999999999999996</v>
      </c>
      <c r="I22" s="34"/>
      <c r="J22" s="293"/>
      <c r="K22" s="117" t="s">
        <v>6</v>
      </c>
      <c r="L22" s="205">
        <v>1.4</v>
      </c>
    </row>
    <row r="23" spans="2:12" x14ac:dyDescent="0.25">
      <c r="B23" s="293"/>
      <c r="C23" s="117" t="s">
        <v>14</v>
      </c>
      <c r="D23" s="205">
        <v>0.67500000000000004</v>
      </c>
      <c r="E23" s="34"/>
      <c r="F23" s="293"/>
      <c r="G23" s="117" t="s">
        <v>23</v>
      </c>
      <c r="H23" s="205">
        <v>1.2</v>
      </c>
      <c r="I23" s="34"/>
      <c r="J23" s="293"/>
      <c r="K23" s="117" t="s">
        <v>7</v>
      </c>
      <c r="L23" s="205">
        <v>1.8</v>
      </c>
    </row>
    <row r="24" spans="2:12" x14ac:dyDescent="0.25">
      <c r="B24" s="293"/>
      <c r="C24" s="117" t="s">
        <v>15</v>
      </c>
      <c r="D24" s="205">
        <v>0.8</v>
      </c>
      <c r="E24" s="34"/>
      <c r="F24" s="293"/>
      <c r="G24" s="117" t="s">
        <v>24</v>
      </c>
      <c r="H24" s="205">
        <v>1</v>
      </c>
      <c r="I24" s="34"/>
      <c r="J24" s="293"/>
      <c r="K24" s="117" t="s">
        <v>8</v>
      </c>
      <c r="L24" s="205">
        <v>1.6</v>
      </c>
    </row>
    <row r="25" spans="2:12" x14ac:dyDescent="0.25">
      <c r="B25" s="293"/>
      <c r="C25" s="117" t="s">
        <v>19</v>
      </c>
      <c r="D25" s="205">
        <v>0.8</v>
      </c>
      <c r="E25" s="34"/>
      <c r="F25" s="293"/>
      <c r="G25" s="117" t="s">
        <v>26</v>
      </c>
      <c r="H25" s="205">
        <v>1</v>
      </c>
      <c r="I25" s="34"/>
      <c r="J25" s="293"/>
      <c r="K25" s="117" t="s">
        <v>14</v>
      </c>
      <c r="L25" s="205">
        <v>1.8</v>
      </c>
    </row>
    <row r="26" spans="2:12" x14ac:dyDescent="0.25">
      <c r="B26" s="293"/>
      <c r="C26" s="117" t="s">
        <v>21</v>
      </c>
      <c r="D26" s="205">
        <v>0.85</v>
      </c>
      <c r="E26" s="34"/>
      <c r="F26" s="293"/>
      <c r="G26" s="117" t="s">
        <v>27</v>
      </c>
      <c r="H26" s="205">
        <v>1.2</v>
      </c>
      <c r="I26" s="34"/>
      <c r="J26" s="293"/>
      <c r="K26" s="117" t="s">
        <v>15</v>
      </c>
      <c r="L26" s="205">
        <v>2.2999999999999998</v>
      </c>
    </row>
    <row r="27" spans="2:12" x14ac:dyDescent="0.25">
      <c r="B27" s="293"/>
      <c r="C27" s="117" t="s">
        <v>23</v>
      </c>
      <c r="D27" s="205">
        <v>1.1000000000000001</v>
      </c>
      <c r="E27" s="34"/>
      <c r="F27" s="293"/>
      <c r="G27" s="117" t="s">
        <v>28</v>
      </c>
      <c r="H27" s="205">
        <v>1</v>
      </c>
      <c r="I27" s="34"/>
      <c r="J27" s="293"/>
      <c r="K27" s="117" t="s">
        <v>19</v>
      </c>
      <c r="L27" s="205">
        <v>1.8</v>
      </c>
    </row>
    <row r="28" spans="2:12" x14ac:dyDescent="0.25">
      <c r="B28" s="293"/>
      <c r="C28" s="117" t="s">
        <v>24</v>
      </c>
      <c r="D28" s="205">
        <v>1</v>
      </c>
      <c r="E28" s="34"/>
      <c r="F28" s="293"/>
      <c r="G28" s="55" t="s">
        <v>56</v>
      </c>
      <c r="H28" s="17">
        <f>AVERAGE(H15:H27)</f>
        <v>1.0884615384615384</v>
      </c>
      <c r="I28" s="34"/>
      <c r="J28" s="293"/>
      <c r="K28" s="117" t="s">
        <v>21</v>
      </c>
      <c r="L28" s="205">
        <v>1.8</v>
      </c>
    </row>
    <row r="29" spans="2:12" x14ac:dyDescent="0.25">
      <c r="B29" s="293"/>
      <c r="C29" s="55" t="s">
        <v>56</v>
      </c>
      <c r="D29" s="17">
        <f>AVERAGE(D19:D28)</f>
        <v>0.80499999999999994</v>
      </c>
      <c r="E29" s="34"/>
      <c r="F29" s="293"/>
      <c r="G29" s="117" t="s">
        <v>22</v>
      </c>
      <c r="H29" s="205">
        <f>_xlfn.STDEV.S(H15:H27)</f>
        <v>0.32025630761017415</v>
      </c>
      <c r="I29" s="34"/>
      <c r="J29" s="293"/>
      <c r="K29" s="117" t="s">
        <v>23</v>
      </c>
      <c r="L29" s="205">
        <v>1.6</v>
      </c>
    </row>
    <row r="30" spans="2:12" x14ac:dyDescent="0.25">
      <c r="B30" s="293"/>
      <c r="C30" s="117" t="s">
        <v>22</v>
      </c>
      <c r="D30" s="205">
        <f>_xlfn.STDEV.S(D19:D28)</f>
        <v>0.14662878298615256</v>
      </c>
      <c r="E30" s="34"/>
      <c r="F30" s="344"/>
      <c r="G30" s="56" t="s">
        <v>9</v>
      </c>
      <c r="H30" s="23">
        <f>H29/(SQRT(13))</f>
        <v>8.8823118336865473E-2</v>
      </c>
      <c r="I30" s="34"/>
      <c r="J30" s="293"/>
      <c r="K30" s="117" t="s">
        <v>24</v>
      </c>
      <c r="L30" s="205">
        <v>1.6</v>
      </c>
    </row>
    <row r="31" spans="2:12" ht="17.25" x14ac:dyDescent="0.25">
      <c r="B31" s="344"/>
      <c r="C31" s="56" t="s">
        <v>9</v>
      </c>
      <c r="D31" s="23">
        <f>D30/(SQRT(10))</f>
        <v>4.6368092477478758E-2</v>
      </c>
      <c r="E31" s="34"/>
      <c r="F31" s="311" t="s">
        <v>12</v>
      </c>
      <c r="G31" s="314" t="s">
        <v>262</v>
      </c>
      <c r="H31" s="313" t="s">
        <v>18</v>
      </c>
      <c r="I31" s="34"/>
      <c r="J31" s="293"/>
      <c r="K31" s="117" t="s">
        <v>26</v>
      </c>
      <c r="L31" s="205">
        <v>2.8</v>
      </c>
    </row>
    <row r="32" spans="2:12" x14ac:dyDescent="0.25">
      <c r="E32" s="34"/>
      <c r="F32" s="291"/>
      <c r="G32" s="118" t="s">
        <v>5</v>
      </c>
      <c r="H32" s="263">
        <v>0.7</v>
      </c>
      <c r="I32" s="34"/>
      <c r="J32" s="293"/>
      <c r="K32" s="117" t="s">
        <v>27</v>
      </c>
      <c r="L32" s="205">
        <v>2.8</v>
      </c>
    </row>
    <row r="33" spans="2:12" x14ac:dyDescent="0.25">
      <c r="B33" s="34"/>
      <c r="C33" s="34"/>
      <c r="D33" s="345"/>
      <c r="E33" s="34"/>
      <c r="F33" s="293"/>
      <c r="G33" s="117" t="s">
        <v>6</v>
      </c>
      <c r="H33" s="205">
        <v>0.75</v>
      </c>
      <c r="I33" s="34"/>
      <c r="J33" s="293"/>
      <c r="K33" s="55" t="s">
        <v>56</v>
      </c>
      <c r="L33" s="17">
        <f>AVERAGE(L21:L32)</f>
        <v>1.8916666666666668</v>
      </c>
    </row>
    <row r="34" spans="2:12" x14ac:dyDescent="0.25">
      <c r="B34" s="34"/>
      <c r="C34" s="34"/>
      <c r="D34" s="34"/>
      <c r="E34" s="34"/>
      <c r="F34" s="293"/>
      <c r="G34" s="117" t="s">
        <v>7</v>
      </c>
      <c r="H34" s="205">
        <v>0.75</v>
      </c>
      <c r="I34" s="34"/>
      <c r="J34" s="293"/>
      <c r="K34" s="117" t="s">
        <v>22</v>
      </c>
      <c r="L34" s="205">
        <f>_xlfn.STDEV.S(L21:L32)</f>
        <v>0.48515851829972811</v>
      </c>
    </row>
    <row r="35" spans="2:12" x14ac:dyDescent="0.25">
      <c r="B35" s="34"/>
      <c r="C35" s="34"/>
      <c r="D35" s="34"/>
      <c r="E35" s="34"/>
      <c r="F35" s="293"/>
      <c r="G35" s="117" t="s">
        <v>8</v>
      </c>
      <c r="H35" s="205">
        <v>0.7</v>
      </c>
      <c r="I35" s="34"/>
      <c r="J35" s="344"/>
      <c r="K35" s="56" t="s">
        <v>9</v>
      </c>
      <c r="L35" s="23">
        <f>L34/(SQRT(12))</f>
        <v>0.14005320056999401</v>
      </c>
    </row>
    <row r="36" spans="2:12" x14ac:dyDescent="0.25">
      <c r="B36" s="34"/>
      <c r="C36" s="34"/>
      <c r="D36" s="34"/>
      <c r="E36" s="34"/>
      <c r="F36" s="293"/>
      <c r="G36" s="117" t="s">
        <v>14</v>
      </c>
      <c r="H36" s="205">
        <v>0.7</v>
      </c>
      <c r="I36" s="34"/>
    </row>
    <row r="37" spans="2:12" x14ac:dyDescent="0.25">
      <c r="B37" s="34"/>
      <c r="C37" s="34"/>
      <c r="D37" s="34"/>
      <c r="E37" s="34"/>
      <c r="F37" s="293"/>
      <c r="G37" s="117" t="s">
        <v>15</v>
      </c>
      <c r="H37" s="205">
        <v>0.75</v>
      </c>
      <c r="I37" s="34"/>
      <c r="J37" s="34"/>
      <c r="K37" s="34"/>
      <c r="L37" s="34"/>
    </row>
    <row r="38" spans="2:12" x14ac:dyDescent="0.25">
      <c r="B38" s="34"/>
      <c r="C38" s="34"/>
      <c r="D38" s="34"/>
      <c r="E38" s="34"/>
      <c r="F38" s="293"/>
      <c r="G38" s="55" t="s">
        <v>56</v>
      </c>
      <c r="H38" s="17">
        <f>AVERAGE(H32:H37)</f>
        <v>0.72500000000000009</v>
      </c>
      <c r="I38" s="34"/>
      <c r="J38" s="34"/>
      <c r="K38" s="34"/>
      <c r="L38" s="34"/>
    </row>
    <row r="39" spans="2:12" x14ac:dyDescent="0.25">
      <c r="B39" s="34"/>
      <c r="C39" s="34"/>
      <c r="D39" s="34"/>
      <c r="E39" s="34"/>
      <c r="F39" s="293"/>
      <c r="G39" s="117" t="s">
        <v>22</v>
      </c>
      <c r="H39" s="205">
        <f>_xlfn.STDEV.S(H32:H37)</f>
        <v>2.7386127875258331E-2</v>
      </c>
      <c r="I39" s="34"/>
      <c r="J39" s="34"/>
      <c r="K39" s="34"/>
      <c r="L39" s="34"/>
    </row>
    <row r="40" spans="2:12" x14ac:dyDescent="0.25">
      <c r="B40" s="34"/>
      <c r="C40" s="34"/>
      <c r="D40" s="34"/>
      <c r="E40" s="34"/>
      <c r="F40" s="344"/>
      <c r="G40" s="56" t="s">
        <v>9</v>
      </c>
      <c r="H40" s="23">
        <f>H39/(SQRT(6))</f>
        <v>1.1180339887498959E-2</v>
      </c>
      <c r="I40" s="34"/>
      <c r="J40" s="34"/>
      <c r="K40" s="34"/>
      <c r="L40" s="34"/>
    </row>
    <row r="41" spans="2:12" x14ac:dyDescent="0.25">
      <c r="B41" s="34"/>
      <c r="C41" s="34"/>
      <c r="D41" s="34"/>
      <c r="E41" s="34"/>
      <c r="I41" s="34"/>
      <c r="J41" s="34"/>
      <c r="K41" s="34"/>
      <c r="L41" s="34"/>
    </row>
    <row r="42" spans="2:12" x14ac:dyDescent="0.25">
      <c r="B42" s="34"/>
      <c r="C42" s="34"/>
      <c r="D42" s="34"/>
      <c r="E42" s="34"/>
      <c r="I42" s="34"/>
      <c r="J42" s="34"/>
      <c r="K42" s="34"/>
      <c r="L42" s="34"/>
    </row>
    <row r="43" spans="2:12" x14ac:dyDescent="0.25"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B2:L32"/>
  <sheetViews>
    <sheetView zoomScale="60" zoomScaleNormal="60" workbookViewId="0"/>
  </sheetViews>
  <sheetFormatPr defaultColWidth="9.140625" defaultRowHeight="15" x14ac:dyDescent="0.25"/>
  <cols>
    <col min="1" max="1" width="1.5703125" style="255" customWidth="1"/>
    <col min="2" max="2" width="24.7109375" style="255" customWidth="1"/>
    <col min="3" max="3" width="17.7109375" style="255" bestFit="1" customWidth="1"/>
    <col min="4" max="4" width="21.7109375" style="255" customWidth="1"/>
    <col min="5" max="5" width="1.28515625" style="255" customWidth="1"/>
    <col min="6" max="6" width="23.7109375" style="255" bestFit="1" customWidth="1"/>
    <col min="7" max="7" width="17.7109375" style="255" bestFit="1" customWidth="1"/>
    <col min="8" max="8" width="21.28515625" style="255" customWidth="1"/>
    <col min="9" max="9" width="1.7109375" style="255" customWidth="1"/>
    <col min="10" max="10" width="21" style="255" bestFit="1" customWidth="1"/>
    <col min="11" max="11" width="17.7109375" style="255" bestFit="1" customWidth="1"/>
    <col min="12" max="12" width="18.5703125" style="255" customWidth="1"/>
    <col min="13" max="16384" width="9.140625" style="255"/>
  </cols>
  <sheetData>
    <row r="2" spans="2:12" x14ac:dyDescent="0.25">
      <c r="B2" s="297" t="s">
        <v>13</v>
      </c>
    </row>
    <row r="3" spans="2:12" ht="21" customHeight="1" x14ac:dyDescent="0.25">
      <c r="B3" s="308" t="s">
        <v>1</v>
      </c>
      <c r="C3" s="343"/>
      <c r="D3" s="34"/>
      <c r="E3" s="34"/>
      <c r="F3" s="308" t="s">
        <v>2</v>
      </c>
      <c r="G3" s="346"/>
      <c r="H3" s="34"/>
      <c r="I3" s="34"/>
      <c r="J3" s="308" t="s">
        <v>3</v>
      </c>
      <c r="K3" s="346"/>
      <c r="L3" s="34"/>
    </row>
    <row r="4" spans="2:12" ht="30" customHeight="1" x14ac:dyDescent="0.25">
      <c r="B4" s="318" t="s">
        <v>4</v>
      </c>
      <c r="C4" s="347" t="s">
        <v>262</v>
      </c>
      <c r="D4" s="348" t="s">
        <v>264</v>
      </c>
      <c r="E4" s="34"/>
      <c r="F4" s="318" t="s">
        <v>4</v>
      </c>
      <c r="G4" s="347" t="s">
        <v>262</v>
      </c>
      <c r="H4" s="348" t="s">
        <v>264</v>
      </c>
      <c r="I4" s="34"/>
      <c r="J4" s="311" t="s">
        <v>4</v>
      </c>
      <c r="K4" s="347" t="s">
        <v>262</v>
      </c>
      <c r="L4" s="348" t="s">
        <v>264</v>
      </c>
    </row>
    <row r="5" spans="2:12" x14ac:dyDescent="0.25">
      <c r="B5" s="291"/>
      <c r="C5" s="118" t="s">
        <v>5</v>
      </c>
      <c r="D5" s="263">
        <v>106</v>
      </c>
      <c r="E5" s="34"/>
      <c r="F5" s="291"/>
      <c r="G5" s="118" t="s">
        <v>5</v>
      </c>
      <c r="H5" s="263">
        <v>66</v>
      </c>
      <c r="I5" s="34"/>
      <c r="J5" s="291"/>
      <c r="K5" s="349" t="s">
        <v>5</v>
      </c>
      <c r="L5" s="263">
        <v>36</v>
      </c>
    </row>
    <row r="6" spans="2:12" x14ac:dyDescent="0.25">
      <c r="B6" s="293"/>
      <c r="C6" s="117" t="s">
        <v>6</v>
      </c>
      <c r="D6" s="205">
        <v>97</v>
      </c>
      <c r="E6" s="345"/>
      <c r="F6" s="293"/>
      <c r="G6" s="117" t="s">
        <v>6</v>
      </c>
      <c r="H6" s="205">
        <v>54</v>
      </c>
      <c r="I6" s="34"/>
      <c r="J6" s="293"/>
      <c r="K6" s="350" t="s">
        <v>6</v>
      </c>
      <c r="L6" s="205">
        <v>39</v>
      </c>
    </row>
    <row r="7" spans="2:12" x14ac:dyDescent="0.25">
      <c r="B7" s="293"/>
      <c r="C7" s="117" t="s">
        <v>7</v>
      </c>
      <c r="D7" s="205">
        <v>80</v>
      </c>
      <c r="E7" s="307"/>
      <c r="F7" s="293"/>
      <c r="G7" s="117" t="s">
        <v>7</v>
      </c>
      <c r="H7" s="205">
        <v>74</v>
      </c>
      <c r="I7" s="34"/>
      <c r="J7" s="293"/>
      <c r="K7" s="350" t="s">
        <v>7</v>
      </c>
      <c r="L7" s="205">
        <v>52</v>
      </c>
    </row>
    <row r="8" spans="2:12" x14ac:dyDescent="0.25">
      <c r="B8" s="293"/>
      <c r="C8" s="55" t="s">
        <v>56</v>
      </c>
      <c r="D8" s="17">
        <f>AVERAGE(D5:D7)</f>
        <v>94.333333333333329</v>
      </c>
      <c r="E8" s="34"/>
      <c r="F8" s="293"/>
      <c r="G8" s="117" t="s">
        <v>8</v>
      </c>
      <c r="H8" s="205">
        <v>68</v>
      </c>
      <c r="I8" s="34"/>
      <c r="J8" s="293"/>
      <c r="K8" s="350" t="s">
        <v>8</v>
      </c>
      <c r="L8" s="205">
        <v>70</v>
      </c>
    </row>
    <row r="9" spans="2:12" x14ac:dyDescent="0.25">
      <c r="B9" s="293"/>
      <c r="C9" s="117" t="s">
        <v>22</v>
      </c>
      <c r="D9" s="204">
        <f>_xlfn.STDEV.S(D5:D7)</f>
        <v>13.203534880225595</v>
      </c>
      <c r="E9" s="34"/>
      <c r="F9" s="293"/>
      <c r="G9" s="55" t="s">
        <v>56</v>
      </c>
      <c r="H9" s="17">
        <f>AVERAGE(H5:H8)</f>
        <v>65.5</v>
      </c>
      <c r="I9" s="34"/>
      <c r="J9" s="293"/>
      <c r="K9" s="350" t="s">
        <v>14</v>
      </c>
      <c r="L9" s="205">
        <v>49</v>
      </c>
    </row>
    <row r="10" spans="2:12" x14ac:dyDescent="0.25">
      <c r="B10" s="344"/>
      <c r="C10" s="56" t="s">
        <v>9</v>
      </c>
      <c r="D10" s="20">
        <f>D9/(SQRT(3))</f>
        <v>7.623064417352861</v>
      </c>
      <c r="E10" s="34"/>
      <c r="F10" s="293"/>
      <c r="G10" s="117" t="s">
        <v>22</v>
      </c>
      <c r="H10" s="204">
        <f>_xlfn.STDEV.S(H5:H8)</f>
        <v>8.3864970836060824</v>
      </c>
      <c r="I10" s="351"/>
      <c r="J10" s="293"/>
      <c r="K10" s="55" t="s">
        <v>56</v>
      </c>
      <c r="L10" s="24">
        <f>AVERAGE(L5:L9)</f>
        <v>49.2</v>
      </c>
    </row>
    <row r="11" spans="2:12" ht="30" x14ac:dyDescent="0.25">
      <c r="B11" s="318" t="s">
        <v>10</v>
      </c>
      <c r="C11" s="347" t="s">
        <v>262</v>
      </c>
      <c r="D11" s="348" t="s">
        <v>264</v>
      </c>
      <c r="E11" s="34"/>
      <c r="F11" s="352"/>
      <c r="G11" s="56" t="s">
        <v>9</v>
      </c>
      <c r="H11" s="23">
        <f>_xlfn.STDEV.S(H5:H8)/SQRT(COUNT(H5:H8))</f>
        <v>4.1932485418030412</v>
      </c>
      <c r="I11" s="34"/>
      <c r="J11" s="353"/>
      <c r="K11" s="117" t="s">
        <v>22</v>
      </c>
      <c r="L11" s="204">
        <f>_xlfn.STDEV.S(L5:L9)</f>
        <v>13.405222862750168</v>
      </c>
    </row>
    <row r="12" spans="2:12" ht="30" x14ac:dyDescent="0.25">
      <c r="B12" s="291"/>
      <c r="C12" s="118" t="s">
        <v>5</v>
      </c>
      <c r="D12" s="263">
        <v>46</v>
      </c>
      <c r="F12" s="318" t="s">
        <v>11</v>
      </c>
      <c r="G12" s="347" t="s">
        <v>262</v>
      </c>
      <c r="H12" s="348" t="s">
        <v>264</v>
      </c>
      <c r="I12" s="34"/>
      <c r="J12" s="344"/>
      <c r="K12" s="56" t="s">
        <v>9</v>
      </c>
      <c r="L12" s="23">
        <f>_xlfn.STDEV.S(L5:L9)/SQRT(COUNT(L5:L9))</f>
        <v>5.9949979149287413</v>
      </c>
    </row>
    <row r="13" spans="2:12" ht="30" x14ac:dyDescent="0.25">
      <c r="B13" s="293"/>
      <c r="C13" s="117" t="s">
        <v>6</v>
      </c>
      <c r="D13" s="205">
        <v>62</v>
      </c>
      <c r="E13" s="34"/>
      <c r="F13" s="291"/>
      <c r="G13" s="117" t="s">
        <v>5</v>
      </c>
      <c r="H13" s="205">
        <v>51</v>
      </c>
      <c r="I13" s="34"/>
      <c r="J13" s="311" t="s">
        <v>11</v>
      </c>
      <c r="K13" s="347" t="s">
        <v>262</v>
      </c>
      <c r="L13" s="348" t="s">
        <v>264</v>
      </c>
    </row>
    <row r="14" spans="2:12" x14ac:dyDescent="0.25">
      <c r="B14" s="293"/>
      <c r="C14" s="117" t="s">
        <v>7</v>
      </c>
      <c r="D14" s="205">
        <v>63</v>
      </c>
      <c r="E14" s="34"/>
      <c r="F14" s="293"/>
      <c r="G14" s="117" t="s">
        <v>6</v>
      </c>
      <c r="H14" s="205">
        <v>40</v>
      </c>
      <c r="I14" s="34"/>
      <c r="J14" s="291"/>
      <c r="K14" s="349" t="s">
        <v>5</v>
      </c>
      <c r="L14" s="263">
        <v>40</v>
      </c>
    </row>
    <row r="15" spans="2:12" x14ac:dyDescent="0.25">
      <c r="B15" s="293"/>
      <c r="C15" s="55" t="s">
        <v>56</v>
      </c>
      <c r="D15" s="17">
        <f>AVERAGE(D12:D14)</f>
        <v>57</v>
      </c>
      <c r="E15" s="34"/>
      <c r="F15" s="293"/>
      <c r="G15" s="117" t="s">
        <v>7</v>
      </c>
      <c r="H15" s="205">
        <v>63</v>
      </c>
      <c r="I15" s="34"/>
      <c r="J15" s="293"/>
      <c r="K15" s="350" t="s">
        <v>6</v>
      </c>
      <c r="L15" s="205">
        <v>34</v>
      </c>
    </row>
    <row r="16" spans="2:12" x14ac:dyDescent="0.25">
      <c r="B16" s="353"/>
      <c r="C16" s="117" t="s">
        <v>22</v>
      </c>
      <c r="D16" s="204">
        <f>_xlfn.STDEV.S(D12:D14)</f>
        <v>9.5393920141694561</v>
      </c>
      <c r="E16" s="34"/>
      <c r="F16" s="293"/>
      <c r="G16" s="117" t="s">
        <v>8</v>
      </c>
      <c r="H16" s="205">
        <v>47</v>
      </c>
      <c r="I16" s="34"/>
      <c r="J16" s="293"/>
      <c r="K16" s="350" t="s">
        <v>7</v>
      </c>
      <c r="L16" s="205">
        <v>34</v>
      </c>
    </row>
    <row r="17" spans="2:12" x14ac:dyDescent="0.25">
      <c r="B17" s="302"/>
      <c r="C17" s="56" t="s">
        <v>9</v>
      </c>
      <c r="D17" s="23">
        <f>((_xlfn.STDEV.S(D12:D14))/((SQRT(3))))</f>
        <v>5.5075705472861021</v>
      </c>
      <c r="E17" s="34"/>
      <c r="F17" s="293"/>
      <c r="G17" s="117" t="s">
        <v>14</v>
      </c>
      <c r="H17" s="205">
        <v>33</v>
      </c>
      <c r="I17" s="34"/>
      <c r="J17" s="293"/>
      <c r="K17" s="350" t="s">
        <v>8</v>
      </c>
      <c r="L17" s="205">
        <v>39</v>
      </c>
    </row>
    <row r="18" spans="2:12" x14ac:dyDescent="0.25">
      <c r="E18" s="307"/>
      <c r="F18" s="293"/>
      <c r="G18" s="55" t="s">
        <v>56</v>
      </c>
      <c r="H18" s="17">
        <f>AVERAGE(H13:H17)</f>
        <v>46.8</v>
      </c>
      <c r="I18" s="34"/>
      <c r="J18" s="293"/>
      <c r="K18" s="350" t="s">
        <v>14</v>
      </c>
      <c r="L18" s="205">
        <v>38</v>
      </c>
    </row>
    <row r="19" spans="2:12" x14ac:dyDescent="0.25">
      <c r="B19" s="354"/>
      <c r="C19" s="149"/>
      <c r="D19" s="247"/>
      <c r="E19" s="34"/>
      <c r="F19" s="353"/>
      <c r="G19" s="117" t="s">
        <v>22</v>
      </c>
      <c r="H19" s="204">
        <f>_xlfn.STDEV.S(H13:H17)</f>
        <v>11.366617790706249</v>
      </c>
      <c r="I19" s="34"/>
      <c r="J19" s="293"/>
      <c r="K19" s="55" t="s">
        <v>56</v>
      </c>
      <c r="L19" s="17">
        <f>AVERAGE(L14:L18)</f>
        <v>37</v>
      </c>
    </row>
    <row r="20" spans="2:12" x14ac:dyDescent="0.25">
      <c r="B20" s="354"/>
      <c r="C20" s="354"/>
      <c r="D20" s="354"/>
      <c r="E20" s="34"/>
      <c r="F20" s="344"/>
      <c r="G20" s="56" t="s">
        <v>9</v>
      </c>
      <c r="H20" s="23">
        <f>_xlfn.STDEV.S(H13:H17)/SQRT(COUNT(H13:H17))</f>
        <v>5.0833060108555292</v>
      </c>
      <c r="I20" s="34"/>
      <c r="J20" s="353"/>
      <c r="K20" s="117" t="s">
        <v>22</v>
      </c>
      <c r="L20" s="204">
        <f>_xlfn.STDEV.S(L14:L18)</f>
        <v>2.8284271247461903</v>
      </c>
    </row>
    <row r="21" spans="2:12" ht="30" x14ac:dyDescent="0.25">
      <c r="B21" s="354"/>
      <c r="C21" s="354"/>
      <c r="D21" s="354"/>
      <c r="E21" s="34"/>
      <c r="F21" s="318" t="s">
        <v>12</v>
      </c>
      <c r="G21" s="347" t="s">
        <v>262</v>
      </c>
      <c r="H21" s="348" t="s">
        <v>264</v>
      </c>
      <c r="I21" s="34"/>
      <c r="J21" s="344"/>
      <c r="K21" s="56" t="s">
        <v>9</v>
      </c>
      <c r="L21" s="23">
        <f>_xlfn.STDEV.S(L14:L18)/SQRT(COUNT(L14:L18))</f>
        <v>1.2649110640673518</v>
      </c>
    </row>
    <row r="22" spans="2:12" x14ac:dyDescent="0.25">
      <c r="B22" s="34"/>
      <c r="C22" s="34"/>
      <c r="D22" s="34"/>
      <c r="E22" s="34"/>
      <c r="F22" s="291"/>
      <c r="G22" s="118" t="s">
        <v>5</v>
      </c>
      <c r="H22" s="263">
        <v>78</v>
      </c>
      <c r="I22" s="34"/>
      <c r="J22" s="34"/>
      <c r="K22" s="34"/>
      <c r="L22" s="34"/>
    </row>
    <row r="23" spans="2:12" x14ac:dyDescent="0.25">
      <c r="B23" s="34"/>
      <c r="C23" s="34"/>
      <c r="D23" s="345"/>
      <c r="E23" s="34"/>
      <c r="F23" s="293"/>
      <c r="G23" s="117" t="s">
        <v>6</v>
      </c>
      <c r="H23" s="205">
        <v>75</v>
      </c>
      <c r="I23" s="34"/>
      <c r="J23" s="34"/>
      <c r="K23" s="34"/>
      <c r="L23" s="34"/>
    </row>
    <row r="24" spans="2:12" x14ac:dyDescent="0.25">
      <c r="B24" s="34"/>
      <c r="C24" s="34"/>
      <c r="D24" s="34"/>
      <c r="E24" s="34"/>
      <c r="F24" s="293"/>
      <c r="G24" s="117" t="s">
        <v>7</v>
      </c>
      <c r="H24" s="205">
        <v>64</v>
      </c>
      <c r="I24" s="34"/>
      <c r="J24" s="34"/>
      <c r="K24" s="34"/>
      <c r="L24" s="34"/>
    </row>
    <row r="25" spans="2:12" x14ac:dyDescent="0.25">
      <c r="B25" s="34"/>
      <c r="C25" s="34"/>
      <c r="D25" s="34"/>
      <c r="E25" s="34"/>
      <c r="F25" s="293"/>
      <c r="G25" s="117" t="s">
        <v>8</v>
      </c>
      <c r="H25" s="205">
        <v>95</v>
      </c>
      <c r="I25" s="34"/>
      <c r="J25" s="34"/>
      <c r="K25" s="34"/>
      <c r="L25" s="34"/>
    </row>
    <row r="26" spans="2:12" x14ac:dyDescent="0.25">
      <c r="B26" s="34"/>
      <c r="C26" s="34"/>
      <c r="D26" s="34"/>
      <c r="E26" s="34"/>
      <c r="F26" s="293"/>
      <c r="G26" s="117" t="s">
        <v>14</v>
      </c>
      <c r="H26" s="205">
        <v>53</v>
      </c>
      <c r="I26" s="34"/>
      <c r="J26" s="34"/>
      <c r="K26" s="34"/>
      <c r="L26" s="34"/>
    </row>
    <row r="27" spans="2:12" x14ac:dyDescent="0.25">
      <c r="B27" s="34"/>
      <c r="C27" s="34"/>
      <c r="D27" s="34"/>
      <c r="E27" s="34"/>
      <c r="F27" s="293"/>
      <c r="G27" s="117" t="s">
        <v>15</v>
      </c>
      <c r="H27" s="205">
        <v>83</v>
      </c>
      <c r="I27" s="34"/>
      <c r="J27" s="34"/>
      <c r="K27" s="34"/>
      <c r="L27" s="34"/>
    </row>
    <row r="28" spans="2:12" x14ac:dyDescent="0.25">
      <c r="B28" s="34"/>
      <c r="C28" s="34"/>
      <c r="D28" s="34"/>
      <c r="E28" s="34"/>
      <c r="F28" s="293"/>
      <c r="G28" s="55" t="s">
        <v>56</v>
      </c>
      <c r="H28" s="17">
        <f>AVERAGE(H22:H27)</f>
        <v>74.666666666666671</v>
      </c>
      <c r="I28" s="34"/>
      <c r="J28" s="34"/>
      <c r="K28" s="34"/>
      <c r="L28" s="34"/>
    </row>
    <row r="29" spans="2:12" x14ac:dyDescent="0.25">
      <c r="B29" s="34"/>
      <c r="C29" s="34"/>
      <c r="D29" s="34"/>
      <c r="E29" s="34"/>
      <c r="F29" s="353"/>
      <c r="G29" s="117" t="s">
        <v>22</v>
      </c>
      <c r="H29" s="204">
        <f>_xlfn.STDEV.S(H22:H27)</f>
        <v>14.67878287415776</v>
      </c>
      <c r="I29" s="34"/>
      <c r="J29" s="34"/>
      <c r="K29" s="34"/>
      <c r="L29" s="34"/>
    </row>
    <row r="30" spans="2:12" x14ac:dyDescent="0.25">
      <c r="B30" s="34"/>
      <c r="C30" s="34"/>
      <c r="D30" s="34"/>
      <c r="E30" s="34"/>
      <c r="F30" s="344"/>
      <c r="G30" s="56" t="s">
        <v>9</v>
      </c>
      <c r="H30" s="23">
        <f>_xlfn.STDEV.S(H22:H27)/SQRT(COUNT(H22:H27))</f>
        <v>5.9925880144651353</v>
      </c>
      <c r="I30" s="34"/>
      <c r="J30" s="34"/>
      <c r="K30" s="34"/>
      <c r="L30" s="34"/>
    </row>
    <row r="31" spans="2:12" x14ac:dyDescent="0.25"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</row>
    <row r="32" spans="2:12" x14ac:dyDescent="0.25">
      <c r="I32" s="34"/>
    </row>
  </sheetData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B2:Q30"/>
  <sheetViews>
    <sheetView zoomScale="60" zoomScaleNormal="60" workbookViewId="0"/>
  </sheetViews>
  <sheetFormatPr defaultColWidth="9.140625" defaultRowHeight="15" x14ac:dyDescent="0.25"/>
  <cols>
    <col min="1" max="1" width="2.28515625" style="255" customWidth="1"/>
    <col min="2" max="2" width="22.85546875" style="255" customWidth="1"/>
    <col min="3" max="3" width="17.7109375" style="255" bestFit="1" customWidth="1"/>
    <col min="4" max="4" width="29.42578125" style="255" customWidth="1"/>
    <col min="5" max="5" width="2.140625" style="255" customWidth="1"/>
    <col min="6" max="6" width="24.85546875" style="255" bestFit="1" customWidth="1"/>
    <col min="7" max="7" width="17.7109375" style="255" bestFit="1" customWidth="1"/>
    <col min="8" max="8" width="29" style="255" customWidth="1"/>
    <col min="9" max="9" width="1.5703125" style="255" customWidth="1"/>
    <col min="10" max="10" width="21" style="255" bestFit="1" customWidth="1"/>
    <col min="11" max="11" width="17.7109375" style="255" bestFit="1" customWidth="1"/>
    <col min="12" max="12" width="32.85546875" style="255" customWidth="1"/>
    <col min="13" max="13" width="9.140625" style="255"/>
    <col min="14" max="14" width="14.7109375" style="255" bestFit="1" customWidth="1"/>
    <col min="15" max="15" width="19.140625" style="255" bestFit="1" customWidth="1"/>
    <col min="16" max="16" width="8.5703125" style="255" bestFit="1" customWidth="1"/>
    <col min="17" max="17" width="7.7109375" style="255" customWidth="1"/>
    <col min="18" max="16384" width="9.140625" style="255"/>
  </cols>
  <sheetData>
    <row r="2" spans="2:17" x14ac:dyDescent="0.25">
      <c r="B2" s="306" t="s">
        <v>0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</row>
    <row r="3" spans="2:17" x14ac:dyDescent="0.25">
      <c r="B3" s="308" t="s">
        <v>1</v>
      </c>
      <c r="C3" s="343"/>
      <c r="D3" s="34"/>
      <c r="E3" s="34"/>
      <c r="F3" s="308" t="s">
        <v>2</v>
      </c>
      <c r="G3" s="346"/>
      <c r="H3" s="34"/>
      <c r="I3" s="34"/>
      <c r="J3" s="308" t="s">
        <v>3</v>
      </c>
      <c r="K3" s="346"/>
      <c r="L3" s="34"/>
      <c r="M3" s="34"/>
      <c r="N3" s="120"/>
      <c r="O3" s="355"/>
      <c r="P3" s="355"/>
      <c r="Q3" s="355"/>
    </row>
    <row r="4" spans="2:17" ht="30" x14ac:dyDescent="0.25">
      <c r="B4" s="318" t="s">
        <v>4</v>
      </c>
      <c r="C4" s="356" t="s">
        <v>262</v>
      </c>
      <c r="D4" s="348" t="s">
        <v>255</v>
      </c>
      <c r="E4" s="34"/>
      <c r="F4" s="318" t="s">
        <v>4</v>
      </c>
      <c r="G4" s="356" t="s">
        <v>262</v>
      </c>
      <c r="H4" s="348" t="s">
        <v>255</v>
      </c>
      <c r="I4" s="34"/>
      <c r="J4" s="311" t="s">
        <v>4</v>
      </c>
      <c r="K4" s="356" t="s">
        <v>262</v>
      </c>
      <c r="L4" s="357" t="s">
        <v>255</v>
      </c>
      <c r="M4" s="34"/>
      <c r="N4" s="325"/>
      <c r="O4" s="120"/>
      <c r="P4" s="120"/>
      <c r="Q4" s="120"/>
    </row>
    <row r="5" spans="2:17" x14ac:dyDescent="0.25">
      <c r="B5" s="293"/>
      <c r="C5" s="117" t="s">
        <v>5</v>
      </c>
      <c r="D5" s="205">
        <v>6406</v>
      </c>
      <c r="E5" s="34"/>
      <c r="F5" s="291"/>
      <c r="G5" s="118" t="s">
        <v>5</v>
      </c>
      <c r="H5" s="263">
        <v>7176</v>
      </c>
      <c r="I5" s="34"/>
      <c r="J5" s="291"/>
      <c r="K5" s="349" t="s">
        <v>5</v>
      </c>
      <c r="L5" s="263">
        <v>3289</v>
      </c>
      <c r="M5" s="34"/>
      <c r="N5" s="325"/>
      <c r="O5" s="355"/>
      <c r="P5" s="355"/>
      <c r="Q5" s="355"/>
    </row>
    <row r="6" spans="2:17" x14ac:dyDescent="0.25">
      <c r="B6" s="293"/>
      <c r="C6" s="117" t="s">
        <v>6</v>
      </c>
      <c r="D6" s="205">
        <v>6281</v>
      </c>
      <c r="E6" s="34"/>
      <c r="F6" s="293"/>
      <c r="G6" s="117" t="s">
        <v>6</v>
      </c>
      <c r="H6" s="205">
        <v>4496</v>
      </c>
      <c r="I6" s="34"/>
      <c r="J6" s="293"/>
      <c r="K6" s="350" t="s">
        <v>6</v>
      </c>
      <c r="L6" s="205">
        <v>4573</v>
      </c>
      <c r="M6" s="34"/>
      <c r="N6" s="325"/>
      <c r="O6" s="355"/>
      <c r="P6" s="355"/>
      <c r="Q6" s="325"/>
    </row>
    <row r="7" spans="2:17" x14ac:dyDescent="0.25">
      <c r="B7" s="293"/>
      <c r="C7" s="117" t="s">
        <v>7</v>
      </c>
      <c r="D7" s="205">
        <v>7622</v>
      </c>
      <c r="E7" s="34"/>
      <c r="F7" s="293"/>
      <c r="G7" s="117" t="s">
        <v>7</v>
      </c>
      <c r="H7" s="205">
        <v>7733</v>
      </c>
      <c r="I7" s="34"/>
      <c r="J7" s="293"/>
      <c r="K7" s="350" t="s">
        <v>7</v>
      </c>
      <c r="L7" s="205">
        <v>4560</v>
      </c>
      <c r="M7" s="34"/>
      <c r="N7" s="325"/>
      <c r="O7" s="355"/>
      <c r="P7" s="355"/>
      <c r="Q7" s="355"/>
    </row>
    <row r="8" spans="2:17" x14ac:dyDescent="0.25">
      <c r="B8" s="293"/>
      <c r="C8" s="55" t="s">
        <v>56</v>
      </c>
      <c r="D8" s="17">
        <f>AVERAGE(D5:D7)</f>
        <v>6769.666666666667</v>
      </c>
      <c r="E8" s="34"/>
      <c r="F8" s="293"/>
      <c r="G8" s="117" t="s">
        <v>8</v>
      </c>
      <c r="H8" s="205">
        <v>5740</v>
      </c>
      <c r="I8" s="34"/>
      <c r="J8" s="293"/>
      <c r="K8" s="350" t="s">
        <v>8</v>
      </c>
      <c r="L8" s="205">
        <v>6710</v>
      </c>
      <c r="M8" s="34"/>
      <c r="N8" s="325"/>
      <c r="O8" s="355"/>
      <c r="P8" s="355"/>
      <c r="Q8" s="355"/>
    </row>
    <row r="9" spans="2:17" x14ac:dyDescent="0.25">
      <c r="B9" s="293"/>
      <c r="C9" s="117" t="s">
        <v>22</v>
      </c>
      <c r="D9" s="205">
        <f>_xlfn.STDEV.S(D5:D7)</f>
        <v>740.78359413079147</v>
      </c>
      <c r="E9" s="34"/>
      <c r="F9" s="293"/>
      <c r="G9" s="55" t="s">
        <v>56</v>
      </c>
      <c r="H9" s="17">
        <f>AVERAGE(H5:H8)</f>
        <v>6286.25</v>
      </c>
      <c r="I9" s="34"/>
      <c r="J9" s="293"/>
      <c r="K9" s="55" t="s">
        <v>56</v>
      </c>
      <c r="L9" s="17">
        <f>AVERAGE(L5:L8)</f>
        <v>4783</v>
      </c>
      <c r="M9" s="34"/>
      <c r="N9" s="325"/>
      <c r="O9" s="355"/>
      <c r="P9" s="355"/>
      <c r="Q9" s="355"/>
    </row>
    <row r="10" spans="2:17" x14ac:dyDescent="0.25">
      <c r="B10" s="344"/>
      <c r="C10" s="56" t="s">
        <v>9</v>
      </c>
      <c r="D10" s="20">
        <f>((_xlfn.STDEV.S(D5:D7))/(SQRT(COUNT(D5:D7))))</f>
        <v>427.69160748267097</v>
      </c>
      <c r="E10" s="34"/>
      <c r="F10" s="293"/>
      <c r="G10" s="117" t="s">
        <v>22</v>
      </c>
      <c r="H10" s="205">
        <f>_xlfn.STDEV.S(H5:H8)</f>
        <v>1459.2377861975294</v>
      </c>
      <c r="I10" s="34"/>
      <c r="J10" s="293"/>
      <c r="K10" s="117" t="s">
        <v>22</v>
      </c>
      <c r="L10" s="205">
        <f>_xlfn.STDEV.S(L5:L8)</f>
        <v>1418.8251008023035</v>
      </c>
      <c r="M10" s="34"/>
      <c r="N10" s="325"/>
      <c r="O10" s="355"/>
      <c r="P10" s="355"/>
      <c r="Q10" s="355"/>
    </row>
    <row r="11" spans="2:17" ht="30" x14ac:dyDescent="0.25">
      <c r="B11" s="318" t="s">
        <v>10</v>
      </c>
      <c r="C11" s="356" t="s">
        <v>262</v>
      </c>
      <c r="D11" s="348" t="s">
        <v>255</v>
      </c>
      <c r="E11" s="34"/>
      <c r="F11" s="344"/>
      <c r="G11" s="56" t="s">
        <v>9</v>
      </c>
      <c r="H11" s="20">
        <f>((_xlfn.STDEV.S(H5:H8))/(SQRT(COUNT(H5:H8))))</f>
        <v>729.61889309876472</v>
      </c>
      <c r="I11" s="34"/>
      <c r="J11" s="344"/>
      <c r="K11" s="56" t="s">
        <v>9</v>
      </c>
      <c r="L11" s="20">
        <f>((_xlfn.STDEV.S(L5:L8))/(SQRT(COUNT(L5:L8))))</f>
        <v>709.41255040115175</v>
      </c>
      <c r="M11" s="34"/>
      <c r="N11" s="325"/>
      <c r="O11" s="355"/>
      <c r="P11" s="355"/>
      <c r="Q11" s="355"/>
    </row>
    <row r="12" spans="2:17" ht="30" x14ac:dyDescent="0.25">
      <c r="B12" s="291"/>
      <c r="C12" s="118" t="s">
        <v>5</v>
      </c>
      <c r="D12" s="263">
        <v>6332</v>
      </c>
      <c r="E12" s="34"/>
      <c r="F12" s="318" t="s">
        <v>11</v>
      </c>
      <c r="G12" s="356" t="s">
        <v>262</v>
      </c>
      <c r="H12" s="348" t="s">
        <v>255</v>
      </c>
      <c r="I12" s="34"/>
      <c r="J12" s="311" t="s">
        <v>11</v>
      </c>
      <c r="K12" s="356" t="s">
        <v>262</v>
      </c>
      <c r="L12" s="357" t="s">
        <v>255</v>
      </c>
      <c r="M12" s="34"/>
      <c r="N12" s="325"/>
      <c r="O12" s="325"/>
      <c r="P12" s="325"/>
      <c r="Q12" s="325"/>
    </row>
    <row r="13" spans="2:17" x14ac:dyDescent="0.25">
      <c r="B13" s="293"/>
      <c r="C13" s="117" t="s">
        <v>6</v>
      </c>
      <c r="D13" s="205">
        <v>10137</v>
      </c>
      <c r="E13" s="34"/>
      <c r="F13" s="291"/>
      <c r="G13" s="118" t="s">
        <v>5</v>
      </c>
      <c r="H13" s="263">
        <v>4465</v>
      </c>
      <c r="I13" s="34"/>
      <c r="J13" s="291"/>
      <c r="K13" s="349" t="s">
        <v>5</v>
      </c>
      <c r="L13" s="263">
        <v>5252</v>
      </c>
      <c r="M13" s="34"/>
      <c r="N13" s="34"/>
      <c r="O13" s="34"/>
      <c r="P13" s="34"/>
      <c r="Q13" s="34"/>
    </row>
    <row r="14" spans="2:17" x14ac:dyDescent="0.25">
      <c r="B14" s="293"/>
      <c r="C14" s="117" t="s">
        <v>7</v>
      </c>
      <c r="D14" s="205">
        <v>5553</v>
      </c>
      <c r="E14" s="34"/>
      <c r="F14" s="293"/>
      <c r="G14" s="117" t="s">
        <v>6</v>
      </c>
      <c r="H14" s="205">
        <v>3808</v>
      </c>
      <c r="I14" s="34"/>
      <c r="J14" s="293"/>
      <c r="K14" s="350" t="s">
        <v>6</v>
      </c>
      <c r="L14" s="205">
        <v>4556</v>
      </c>
      <c r="M14" s="34"/>
      <c r="N14" s="34"/>
      <c r="O14" s="34"/>
      <c r="P14" s="34"/>
      <c r="Q14" s="34"/>
    </row>
    <row r="15" spans="2:17" x14ac:dyDescent="0.25">
      <c r="B15" s="293"/>
      <c r="C15" s="55" t="s">
        <v>56</v>
      </c>
      <c r="D15" s="17">
        <f>AVERAGE(D12:D14)</f>
        <v>7340.666666666667</v>
      </c>
      <c r="E15" s="34"/>
      <c r="F15" s="293"/>
      <c r="G15" s="117" t="s">
        <v>7</v>
      </c>
      <c r="H15" s="205">
        <v>3225</v>
      </c>
      <c r="I15" s="34"/>
      <c r="J15" s="293"/>
      <c r="K15" s="350" t="s">
        <v>7</v>
      </c>
      <c r="L15" s="205">
        <v>4280</v>
      </c>
      <c r="M15" s="34"/>
      <c r="N15" s="34"/>
      <c r="O15" s="34"/>
      <c r="P15" s="34"/>
      <c r="Q15" s="34"/>
    </row>
    <row r="16" spans="2:17" x14ac:dyDescent="0.25">
      <c r="B16" s="293"/>
      <c r="C16" s="117" t="s">
        <v>22</v>
      </c>
      <c r="D16" s="205">
        <f>_xlfn.STDEV.S(D12:D14)</f>
        <v>2452.8188545698454</v>
      </c>
      <c r="E16" s="34"/>
      <c r="F16" s="293"/>
      <c r="G16" s="117" t="s">
        <v>8</v>
      </c>
      <c r="H16" s="205">
        <v>4591</v>
      </c>
      <c r="I16" s="34"/>
      <c r="J16" s="293"/>
      <c r="K16" s="350" t="s">
        <v>8</v>
      </c>
      <c r="L16" s="205">
        <v>5107</v>
      </c>
      <c r="M16" s="34"/>
      <c r="N16" s="34"/>
      <c r="O16" s="34"/>
      <c r="P16" s="34"/>
      <c r="Q16" s="34"/>
    </row>
    <row r="17" spans="2:17" x14ac:dyDescent="0.25">
      <c r="B17" s="344"/>
      <c r="C17" s="56" t="s">
        <v>9</v>
      </c>
      <c r="D17" s="20">
        <f>((_xlfn.STDEV.S(D12:D14))/(SQRT(COUNT(D12:D14))))</f>
        <v>1416.1356259592899</v>
      </c>
      <c r="E17" s="34"/>
      <c r="F17" s="293"/>
      <c r="G17" s="55" t="s">
        <v>56</v>
      </c>
      <c r="H17" s="17">
        <f>AVERAGE(H13:H16)</f>
        <v>4022.25</v>
      </c>
      <c r="I17" s="34"/>
      <c r="J17" s="293"/>
      <c r="K17" s="55" t="s">
        <v>56</v>
      </c>
      <c r="L17" s="17">
        <f>AVERAGE(L13:L16)</f>
        <v>4798.75</v>
      </c>
      <c r="M17" s="34"/>
      <c r="N17" s="34"/>
      <c r="O17" s="34"/>
      <c r="P17" s="34"/>
      <c r="Q17" s="34"/>
    </row>
    <row r="18" spans="2:17" x14ac:dyDescent="0.25">
      <c r="E18" s="34"/>
      <c r="F18" s="293"/>
      <c r="G18" s="117" t="s">
        <v>22</v>
      </c>
      <c r="H18" s="205">
        <f>_xlfn.STDEV.S(H13:H16)</f>
        <v>632.72288563003633</v>
      </c>
      <c r="I18" s="34"/>
      <c r="J18" s="293"/>
      <c r="K18" s="117" t="s">
        <v>22</v>
      </c>
      <c r="L18" s="205">
        <f>_xlfn.STDEV.S(L13:L16)</f>
        <v>457.70541836425753</v>
      </c>
      <c r="M18" s="34"/>
      <c r="N18" s="34"/>
      <c r="O18" s="34"/>
      <c r="P18" s="34"/>
      <c r="Q18" s="34"/>
    </row>
    <row r="19" spans="2:17" x14ac:dyDescent="0.25">
      <c r="E19" s="34"/>
      <c r="F19" s="344"/>
      <c r="G19" s="56" t="s">
        <v>9</v>
      </c>
      <c r="H19" s="20">
        <f>((_xlfn.STDEV.S(H13:H16))/(SQRT(COUNT(H13:H16))))</f>
        <v>316.36144281501817</v>
      </c>
      <c r="I19" s="34"/>
      <c r="J19" s="344"/>
      <c r="K19" s="56" t="s">
        <v>9</v>
      </c>
      <c r="L19" s="20">
        <f>((_xlfn.STDEV.S(L13:L16))/(SQRT(COUNT(L13:L16))))</f>
        <v>228.85270918212876</v>
      </c>
      <c r="M19" s="34"/>
      <c r="N19" s="34"/>
      <c r="O19" s="34"/>
      <c r="P19" s="34"/>
      <c r="Q19" s="34"/>
    </row>
    <row r="20" spans="2:17" ht="30" x14ac:dyDescent="0.25">
      <c r="B20" s="34"/>
      <c r="C20" s="34"/>
      <c r="D20" s="34"/>
      <c r="E20" s="34"/>
      <c r="F20" s="318" t="s">
        <v>12</v>
      </c>
      <c r="G20" s="356" t="s">
        <v>262</v>
      </c>
      <c r="H20" s="348" t="s">
        <v>255</v>
      </c>
      <c r="I20" s="34"/>
      <c r="M20" s="251"/>
      <c r="N20" s="34"/>
      <c r="O20" s="34"/>
      <c r="P20" s="34"/>
      <c r="Q20" s="34"/>
    </row>
    <row r="21" spans="2:17" x14ac:dyDescent="0.25">
      <c r="B21" s="34"/>
      <c r="C21" s="34"/>
      <c r="D21" s="34"/>
      <c r="E21" s="34"/>
      <c r="F21" s="291"/>
      <c r="G21" s="118" t="s">
        <v>5</v>
      </c>
      <c r="H21" s="263">
        <v>7750</v>
      </c>
      <c r="I21" s="34"/>
      <c r="J21" s="34"/>
      <c r="K21" s="34"/>
      <c r="L21" s="34"/>
      <c r="M21" s="34"/>
      <c r="N21" s="34"/>
      <c r="O21" s="34"/>
      <c r="P21" s="34"/>
      <c r="Q21" s="34"/>
    </row>
    <row r="22" spans="2:17" x14ac:dyDescent="0.25">
      <c r="B22" s="34"/>
      <c r="C22" s="34"/>
      <c r="D22" s="345"/>
      <c r="E22" s="34"/>
      <c r="F22" s="293"/>
      <c r="G22" s="117" t="s">
        <v>6</v>
      </c>
      <c r="H22" s="205">
        <v>4725</v>
      </c>
      <c r="I22" s="34"/>
      <c r="J22" s="325"/>
      <c r="K22" s="251"/>
      <c r="L22" s="251"/>
      <c r="M22" s="34"/>
      <c r="N22" s="34"/>
      <c r="O22" s="34"/>
      <c r="P22" s="34"/>
      <c r="Q22" s="34"/>
    </row>
    <row r="23" spans="2:17" x14ac:dyDescent="0.25">
      <c r="B23" s="34"/>
      <c r="C23" s="34"/>
      <c r="D23" s="34"/>
      <c r="E23" s="34"/>
      <c r="F23" s="293"/>
      <c r="G23" s="117" t="s">
        <v>7</v>
      </c>
      <c r="H23" s="205">
        <v>7358</v>
      </c>
      <c r="I23" s="34"/>
      <c r="J23" s="34"/>
      <c r="K23" s="34"/>
      <c r="L23" s="34"/>
      <c r="M23" s="34"/>
      <c r="N23" s="34"/>
      <c r="O23" s="34"/>
      <c r="P23" s="34"/>
      <c r="Q23" s="34"/>
    </row>
    <row r="24" spans="2:17" x14ac:dyDescent="0.25">
      <c r="B24" s="34"/>
      <c r="C24" s="34"/>
      <c r="D24" s="34"/>
      <c r="E24" s="34"/>
      <c r="F24" s="293"/>
      <c r="G24" s="117" t="s">
        <v>8</v>
      </c>
      <c r="H24" s="205">
        <v>5623</v>
      </c>
      <c r="I24" s="34"/>
      <c r="J24" s="34"/>
      <c r="K24" s="34"/>
      <c r="L24" s="34"/>
      <c r="M24" s="34"/>
      <c r="N24" s="34"/>
      <c r="O24" s="34"/>
      <c r="P24" s="34"/>
      <c r="Q24" s="34"/>
    </row>
    <row r="25" spans="2:17" x14ac:dyDescent="0.25">
      <c r="B25" s="34"/>
      <c r="C25" s="34"/>
      <c r="D25" s="34"/>
      <c r="E25" s="34"/>
      <c r="F25" s="293"/>
      <c r="G25" s="55" t="s">
        <v>56</v>
      </c>
      <c r="H25" s="17">
        <f>AVERAGE(H21:H24)</f>
        <v>6364</v>
      </c>
      <c r="I25" s="34"/>
      <c r="J25" s="34"/>
      <c r="K25" s="34"/>
      <c r="L25" s="34"/>
      <c r="M25" s="34"/>
      <c r="N25" s="34"/>
      <c r="O25" s="34"/>
      <c r="P25" s="34"/>
      <c r="Q25" s="34"/>
    </row>
    <row r="26" spans="2:17" x14ac:dyDescent="0.25">
      <c r="B26" s="34"/>
      <c r="C26" s="34"/>
      <c r="D26" s="34"/>
      <c r="E26" s="34"/>
      <c r="F26" s="293"/>
      <c r="G26" s="117" t="s">
        <v>22</v>
      </c>
      <c r="H26" s="205">
        <f>_xlfn.STDEV.S(H21:H24)</f>
        <v>1431.1340491605483</v>
      </c>
      <c r="I26" s="34"/>
      <c r="J26" s="34"/>
      <c r="K26" s="34"/>
      <c r="L26" s="34"/>
      <c r="M26" s="34"/>
      <c r="N26" s="34"/>
      <c r="O26" s="34"/>
      <c r="P26" s="34"/>
      <c r="Q26" s="34"/>
    </row>
    <row r="27" spans="2:17" x14ac:dyDescent="0.25">
      <c r="B27" s="34"/>
      <c r="C27" s="34"/>
      <c r="D27" s="34"/>
      <c r="E27" s="34"/>
      <c r="F27" s="344"/>
      <c r="G27" s="56" t="s">
        <v>9</v>
      </c>
      <c r="H27" s="20">
        <f>((_xlfn.STDEV.S(H21:H24))/(SQRT(COUNT(H21:H24))))</f>
        <v>715.56702458027416</v>
      </c>
      <c r="I27" s="34"/>
      <c r="J27" s="34"/>
      <c r="K27" s="34"/>
      <c r="L27" s="34"/>
      <c r="M27" s="34"/>
      <c r="N27" s="34"/>
      <c r="O27" s="34"/>
      <c r="P27" s="34"/>
      <c r="Q27" s="34"/>
    </row>
    <row r="28" spans="2:17" x14ac:dyDescent="0.25">
      <c r="B28" s="34"/>
      <c r="C28" s="34"/>
      <c r="D28" s="34"/>
      <c r="J28" s="34"/>
      <c r="K28" s="34"/>
      <c r="L28" s="34"/>
    </row>
    <row r="29" spans="2:17" x14ac:dyDescent="0.25">
      <c r="B29" s="34"/>
      <c r="C29" s="34"/>
      <c r="D29" s="34"/>
      <c r="J29" s="34"/>
      <c r="K29" s="34"/>
      <c r="L29" s="34"/>
    </row>
    <row r="30" spans="2:17" x14ac:dyDescent="0.25">
      <c r="F30" s="34"/>
      <c r="G30" s="34"/>
      <c r="H30" s="34"/>
    </row>
  </sheetData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/>
  <dimension ref="B2:S34"/>
  <sheetViews>
    <sheetView zoomScale="60" zoomScaleNormal="60" workbookViewId="0"/>
  </sheetViews>
  <sheetFormatPr defaultColWidth="9.140625" defaultRowHeight="15" x14ac:dyDescent="0.25"/>
  <cols>
    <col min="1" max="1" width="1.7109375" style="32" customWidth="1"/>
    <col min="2" max="2" width="17.28515625" style="32" bestFit="1" customWidth="1"/>
    <col min="3" max="3" width="17.7109375" style="32" customWidth="1"/>
    <col min="4" max="4" width="18.7109375" style="32" bestFit="1" customWidth="1"/>
    <col min="5" max="5" width="22.85546875" style="32" customWidth="1"/>
    <col min="6" max="6" width="21.140625" style="32" bestFit="1" customWidth="1"/>
    <col min="7" max="7" width="25" style="32" customWidth="1"/>
    <col min="8" max="8" width="1.85546875" style="32" customWidth="1"/>
    <col min="9" max="9" width="17.42578125" style="32" bestFit="1" customWidth="1"/>
    <col min="10" max="10" width="17.7109375" style="32" bestFit="1" customWidth="1"/>
    <col min="11" max="11" width="17.85546875" style="32" customWidth="1"/>
    <col min="12" max="12" width="23.140625" style="32" customWidth="1"/>
    <col min="13" max="13" width="19.7109375" style="32" bestFit="1" customWidth="1"/>
    <col min="14" max="14" width="23.5703125" style="32" customWidth="1"/>
    <col min="15" max="17" width="17" style="32" customWidth="1"/>
    <col min="18" max="18" width="1.5703125" style="32" customWidth="1"/>
    <col min="19" max="19" width="17.28515625" style="32" bestFit="1" customWidth="1"/>
    <col min="20" max="20" width="13.5703125" style="32" bestFit="1" customWidth="1"/>
    <col min="21" max="21" width="17" style="32" customWidth="1"/>
    <col min="22" max="16384" width="9.140625" style="32"/>
  </cols>
  <sheetData>
    <row r="2" spans="2:19" x14ac:dyDescent="0.25">
      <c r="B2" s="191" t="s">
        <v>271</v>
      </c>
    </row>
    <row r="3" spans="2:19" x14ac:dyDescent="0.25">
      <c r="B3" s="26" t="s">
        <v>2</v>
      </c>
      <c r="C3" s="252"/>
      <c r="D3" s="253"/>
      <c r="E3" s="253"/>
      <c r="F3" s="253"/>
      <c r="G3" s="253"/>
      <c r="H3" s="253"/>
      <c r="R3" s="253"/>
      <c r="S3" s="27"/>
    </row>
    <row r="4" spans="2:19" ht="32.25" x14ac:dyDescent="0.25">
      <c r="B4" s="4" t="s">
        <v>4</v>
      </c>
      <c r="C4" s="8" t="s">
        <v>263</v>
      </c>
      <c r="D4" s="46" t="s">
        <v>29</v>
      </c>
      <c r="E4" s="46" t="s">
        <v>268</v>
      </c>
      <c r="F4" s="46" t="s">
        <v>269</v>
      </c>
      <c r="G4" s="6" t="s">
        <v>270</v>
      </c>
      <c r="H4" s="253"/>
      <c r="I4" s="7" t="s">
        <v>215</v>
      </c>
      <c r="J4" s="8" t="s">
        <v>263</v>
      </c>
      <c r="K4" s="46" t="s">
        <v>29</v>
      </c>
      <c r="L4" s="46" t="s">
        <v>268</v>
      </c>
      <c r="M4" s="46" t="s">
        <v>269</v>
      </c>
      <c r="N4" s="6" t="s">
        <v>270</v>
      </c>
      <c r="R4" s="253"/>
    </row>
    <row r="5" spans="2:19" x14ac:dyDescent="0.25">
      <c r="B5" s="201"/>
      <c r="C5" s="102" t="s">
        <v>5</v>
      </c>
      <c r="D5" s="144">
        <v>31.8</v>
      </c>
      <c r="E5" s="13">
        <v>7176</v>
      </c>
      <c r="F5" s="13">
        <v>66</v>
      </c>
      <c r="G5" s="208"/>
      <c r="H5" s="253"/>
      <c r="I5" s="201"/>
      <c r="J5" s="102" t="s">
        <v>5</v>
      </c>
      <c r="K5" s="102">
        <v>27.84</v>
      </c>
      <c r="L5" s="28">
        <v>7750</v>
      </c>
      <c r="M5" s="28">
        <v>78</v>
      </c>
      <c r="N5" s="208"/>
      <c r="R5" s="253"/>
    </row>
    <row r="6" spans="2:19" x14ac:dyDescent="0.25">
      <c r="B6" s="202"/>
      <c r="C6" s="104" t="s">
        <v>6</v>
      </c>
      <c r="D6" s="146">
        <v>35.5</v>
      </c>
      <c r="E6" s="15">
        <v>4496</v>
      </c>
      <c r="F6" s="15">
        <v>54</v>
      </c>
      <c r="G6" s="209"/>
      <c r="I6" s="202"/>
      <c r="J6" s="104" t="s">
        <v>6</v>
      </c>
      <c r="K6" s="104">
        <v>30.93</v>
      </c>
      <c r="L6" s="29">
        <v>4725</v>
      </c>
      <c r="M6" s="29">
        <v>75</v>
      </c>
      <c r="N6" s="209"/>
    </row>
    <row r="7" spans="2:19" x14ac:dyDescent="0.25">
      <c r="B7" s="202"/>
      <c r="C7" s="104" t="s">
        <v>7</v>
      </c>
      <c r="D7" s="146">
        <v>34.4</v>
      </c>
      <c r="E7" s="15">
        <v>7733</v>
      </c>
      <c r="F7" s="15">
        <v>74</v>
      </c>
      <c r="G7" s="209"/>
      <c r="I7" s="202"/>
      <c r="J7" s="104" t="s">
        <v>7</v>
      </c>
      <c r="K7" s="104">
        <v>32.4</v>
      </c>
      <c r="L7" s="164"/>
      <c r="M7" s="29">
        <v>64</v>
      </c>
      <c r="N7" s="209"/>
    </row>
    <row r="8" spans="2:19" x14ac:dyDescent="0.25">
      <c r="B8" s="202"/>
      <c r="C8" s="104" t="s">
        <v>8</v>
      </c>
      <c r="D8" s="146">
        <v>36.04</v>
      </c>
      <c r="E8" s="15">
        <v>5740</v>
      </c>
      <c r="F8" s="15">
        <v>68</v>
      </c>
      <c r="G8" s="209"/>
      <c r="I8" s="202"/>
      <c r="J8" s="104" t="s">
        <v>8</v>
      </c>
      <c r="K8" s="104">
        <v>30.89</v>
      </c>
      <c r="L8" s="29">
        <v>7358</v>
      </c>
      <c r="M8" s="29">
        <v>95</v>
      </c>
      <c r="N8" s="209"/>
    </row>
    <row r="9" spans="2:19" x14ac:dyDescent="0.25">
      <c r="B9" s="202"/>
      <c r="C9" s="104" t="s">
        <v>14</v>
      </c>
      <c r="D9" s="146">
        <v>28</v>
      </c>
      <c r="E9" s="210"/>
      <c r="F9" s="210"/>
      <c r="G9" s="30">
        <v>0.52500000000000002</v>
      </c>
      <c r="I9" s="202"/>
      <c r="J9" s="104" t="s">
        <v>14</v>
      </c>
      <c r="K9" s="104">
        <v>27.76</v>
      </c>
      <c r="L9" s="29">
        <v>5623</v>
      </c>
      <c r="M9" s="29">
        <v>83</v>
      </c>
      <c r="N9" s="209"/>
    </row>
    <row r="10" spans="2:19" x14ac:dyDescent="0.25">
      <c r="B10" s="202"/>
      <c r="C10" s="104" t="s">
        <v>15</v>
      </c>
      <c r="D10" s="146">
        <v>30</v>
      </c>
      <c r="E10" s="210"/>
      <c r="F10" s="210"/>
      <c r="G10" s="30">
        <v>0.5</v>
      </c>
      <c r="I10" s="202"/>
      <c r="J10" s="104" t="s">
        <v>15</v>
      </c>
      <c r="K10" s="104">
        <v>34</v>
      </c>
      <c r="L10" s="210"/>
      <c r="M10" s="210"/>
      <c r="N10" s="30">
        <v>0.7</v>
      </c>
    </row>
    <row r="11" spans="2:19" x14ac:dyDescent="0.25">
      <c r="B11" s="202"/>
      <c r="C11" s="104" t="s">
        <v>19</v>
      </c>
      <c r="D11" s="146">
        <v>30</v>
      </c>
      <c r="E11" s="210"/>
      <c r="F11" s="210"/>
      <c r="G11" s="30">
        <v>0.52500000000000002</v>
      </c>
      <c r="I11" s="202"/>
      <c r="J11" s="104" t="s">
        <v>19</v>
      </c>
      <c r="K11" s="104">
        <v>35</v>
      </c>
      <c r="L11" s="210"/>
      <c r="M11" s="210"/>
      <c r="N11" s="30">
        <v>0.75</v>
      </c>
    </row>
    <row r="12" spans="2:19" x14ac:dyDescent="0.25">
      <c r="B12" s="202"/>
      <c r="C12" s="104" t="s">
        <v>21</v>
      </c>
      <c r="D12" s="146">
        <v>31</v>
      </c>
      <c r="E12" s="210"/>
      <c r="F12" s="210"/>
      <c r="G12" s="30">
        <v>0.5</v>
      </c>
      <c r="I12" s="202"/>
      <c r="J12" s="104" t="s">
        <v>21</v>
      </c>
      <c r="K12" s="104">
        <v>45</v>
      </c>
      <c r="L12" s="210"/>
      <c r="M12" s="210"/>
      <c r="N12" s="30">
        <v>0.75</v>
      </c>
    </row>
    <row r="13" spans="2:19" x14ac:dyDescent="0.25">
      <c r="B13" s="202"/>
      <c r="C13" s="104" t="s">
        <v>23</v>
      </c>
      <c r="D13" s="146">
        <v>31</v>
      </c>
      <c r="E13" s="210"/>
      <c r="F13" s="210"/>
      <c r="G13" s="30">
        <v>0.625</v>
      </c>
      <c r="I13" s="202"/>
      <c r="J13" s="104" t="s">
        <v>23</v>
      </c>
      <c r="K13" s="104">
        <v>29</v>
      </c>
      <c r="L13" s="210"/>
      <c r="M13" s="210"/>
      <c r="N13" s="30">
        <v>0.7</v>
      </c>
    </row>
    <row r="14" spans="2:19" x14ac:dyDescent="0.25">
      <c r="B14" s="203"/>
      <c r="C14" s="105" t="s">
        <v>24</v>
      </c>
      <c r="D14" s="254">
        <v>33</v>
      </c>
      <c r="E14" s="211"/>
      <c r="F14" s="211"/>
      <c r="G14" s="31">
        <v>0.52500000000000002</v>
      </c>
      <c r="I14" s="202"/>
      <c r="J14" s="104" t="s">
        <v>24</v>
      </c>
      <c r="K14" s="104">
        <v>30</v>
      </c>
      <c r="L14" s="210"/>
      <c r="M14" s="210"/>
      <c r="N14" s="30">
        <v>0.7</v>
      </c>
    </row>
    <row r="15" spans="2:19" x14ac:dyDescent="0.25">
      <c r="I15" s="203"/>
      <c r="J15" s="105" t="s">
        <v>26</v>
      </c>
      <c r="K15" s="105">
        <v>29</v>
      </c>
      <c r="L15" s="211"/>
      <c r="M15" s="211"/>
      <c r="N15" s="31">
        <v>0.75</v>
      </c>
    </row>
    <row r="16" spans="2:19" ht="32.25" x14ac:dyDescent="0.25">
      <c r="B16" s="7" t="s">
        <v>25</v>
      </c>
      <c r="C16" s="8" t="s">
        <v>263</v>
      </c>
      <c r="D16" s="46" t="s">
        <v>29</v>
      </c>
      <c r="E16" s="46" t="s">
        <v>268</v>
      </c>
      <c r="F16" s="46" t="s">
        <v>269</v>
      </c>
      <c r="G16" s="6" t="s">
        <v>270</v>
      </c>
    </row>
    <row r="17" spans="2:7" x14ac:dyDescent="0.25">
      <c r="B17" s="201"/>
      <c r="C17" s="102" t="s">
        <v>5</v>
      </c>
      <c r="D17" s="102">
        <v>38.799999999999997</v>
      </c>
      <c r="E17" s="207"/>
      <c r="F17" s="13">
        <v>51</v>
      </c>
      <c r="G17" s="208"/>
    </row>
    <row r="18" spans="2:7" x14ac:dyDescent="0.25">
      <c r="B18" s="202"/>
      <c r="C18" s="104" t="s">
        <v>6</v>
      </c>
      <c r="D18" s="104">
        <v>42.9</v>
      </c>
      <c r="E18" s="29">
        <v>4465</v>
      </c>
      <c r="F18" s="15">
        <v>40</v>
      </c>
      <c r="G18" s="209"/>
    </row>
    <row r="19" spans="2:7" x14ac:dyDescent="0.25">
      <c r="B19" s="202"/>
      <c r="C19" s="104" t="s">
        <v>7</v>
      </c>
      <c r="D19" s="104">
        <v>38.92</v>
      </c>
      <c r="E19" s="29">
        <v>3808</v>
      </c>
      <c r="F19" s="15">
        <v>63</v>
      </c>
      <c r="G19" s="209"/>
    </row>
    <row r="20" spans="2:7" x14ac:dyDescent="0.25">
      <c r="B20" s="202"/>
      <c r="C20" s="104" t="s">
        <v>8</v>
      </c>
      <c r="D20" s="104">
        <v>43.74</v>
      </c>
      <c r="E20" s="29">
        <v>3225</v>
      </c>
      <c r="F20" s="15">
        <v>33</v>
      </c>
      <c r="G20" s="209"/>
    </row>
    <row r="21" spans="2:7" x14ac:dyDescent="0.25">
      <c r="B21" s="202"/>
      <c r="C21" s="104" t="s">
        <v>14</v>
      </c>
      <c r="D21" s="104">
        <v>40.89</v>
      </c>
      <c r="E21" s="29">
        <v>4591</v>
      </c>
      <c r="F21" s="15">
        <v>47</v>
      </c>
      <c r="G21" s="209"/>
    </row>
    <row r="22" spans="2:7" x14ac:dyDescent="0.25">
      <c r="B22" s="202"/>
      <c r="C22" s="104" t="s">
        <v>15</v>
      </c>
      <c r="D22" s="104">
        <v>41</v>
      </c>
      <c r="E22" s="210"/>
      <c r="F22" s="210"/>
      <c r="G22" s="30">
        <v>0.85</v>
      </c>
    </row>
    <row r="23" spans="2:7" x14ac:dyDescent="0.25">
      <c r="B23" s="202"/>
      <c r="C23" s="104" t="s">
        <v>19</v>
      </c>
      <c r="D23" s="104">
        <v>41</v>
      </c>
      <c r="E23" s="210"/>
      <c r="F23" s="210"/>
      <c r="G23" s="30">
        <v>1</v>
      </c>
    </row>
    <row r="24" spans="2:7" x14ac:dyDescent="0.25">
      <c r="B24" s="202"/>
      <c r="C24" s="104" t="s">
        <v>21</v>
      </c>
      <c r="D24" s="104">
        <v>45</v>
      </c>
      <c r="E24" s="210"/>
      <c r="F24" s="210"/>
      <c r="G24" s="30">
        <v>0.9</v>
      </c>
    </row>
    <row r="25" spans="2:7" x14ac:dyDescent="0.25">
      <c r="B25" s="202"/>
      <c r="C25" s="104" t="s">
        <v>23</v>
      </c>
      <c r="D25" s="104">
        <v>42</v>
      </c>
      <c r="E25" s="210"/>
      <c r="F25" s="210"/>
      <c r="G25" s="30">
        <v>1</v>
      </c>
    </row>
    <row r="26" spans="2:7" x14ac:dyDescent="0.25">
      <c r="B26" s="202"/>
      <c r="C26" s="104" t="s">
        <v>24</v>
      </c>
      <c r="D26" s="104">
        <v>44</v>
      </c>
      <c r="E26" s="210"/>
      <c r="F26" s="210"/>
      <c r="G26" s="30">
        <v>0.9</v>
      </c>
    </row>
    <row r="27" spans="2:7" x14ac:dyDescent="0.25">
      <c r="B27" s="202"/>
      <c r="C27" s="104" t="s">
        <v>26</v>
      </c>
      <c r="D27" s="104">
        <v>35</v>
      </c>
      <c r="E27" s="210"/>
      <c r="F27" s="210"/>
      <c r="G27" s="30">
        <v>1</v>
      </c>
    </row>
    <row r="28" spans="2:7" x14ac:dyDescent="0.25">
      <c r="B28" s="202"/>
      <c r="C28" s="104" t="s">
        <v>27</v>
      </c>
      <c r="D28" s="104">
        <v>39</v>
      </c>
      <c r="E28" s="210"/>
      <c r="F28" s="210"/>
      <c r="G28" s="30">
        <v>1</v>
      </c>
    </row>
    <row r="29" spans="2:7" x14ac:dyDescent="0.25">
      <c r="B29" s="202"/>
      <c r="C29" s="104" t="s">
        <v>28</v>
      </c>
      <c r="D29" s="104">
        <v>42</v>
      </c>
      <c r="E29" s="210"/>
      <c r="F29" s="210"/>
      <c r="G29" s="30">
        <v>2.1</v>
      </c>
    </row>
    <row r="30" spans="2:7" x14ac:dyDescent="0.25">
      <c r="B30" s="202"/>
      <c r="C30" s="104" t="s">
        <v>30</v>
      </c>
      <c r="D30" s="104">
        <v>33</v>
      </c>
      <c r="E30" s="210"/>
      <c r="F30" s="210"/>
      <c r="G30" s="30">
        <v>1.2</v>
      </c>
    </row>
    <row r="31" spans="2:7" x14ac:dyDescent="0.25">
      <c r="B31" s="202"/>
      <c r="C31" s="104" t="s">
        <v>31</v>
      </c>
      <c r="D31" s="104">
        <v>45</v>
      </c>
      <c r="E31" s="210"/>
      <c r="F31" s="210"/>
      <c r="G31" s="30">
        <v>1</v>
      </c>
    </row>
    <row r="32" spans="2:7" x14ac:dyDescent="0.25">
      <c r="B32" s="202"/>
      <c r="C32" s="104" t="s">
        <v>32</v>
      </c>
      <c r="D32" s="104">
        <v>45</v>
      </c>
      <c r="E32" s="210"/>
      <c r="F32" s="210"/>
      <c r="G32" s="30">
        <v>1</v>
      </c>
    </row>
    <row r="33" spans="2:7" x14ac:dyDescent="0.25">
      <c r="B33" s="202"/>
      <c r="C33" s="104" t="s">
        <v>33</v>
      </c>
      <c r="D33" s="104">
        <v>44</v>
      </c>
      <c r="E33" s="210"/>
      <c r="F33" s="210"/>
      <c r="G33" s="30">
        <v>1.2</v>
      </c>
    </row>
    <row r="34" spans="2:7" x14ac:dyDescent="0.25">
      <c r="B34" s="203"/>
      <c r="C34" s="105" t="s">
        <v>34</v>
      </c>
      <c r="D34" s="105">
        <v>49</v>
      </c>
      <c r="E34" s="211"/>
      <c r="F34" s="211"/>
      <c r="G34" s="3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B2:S133"/>
  <sheetViews>
    <sheetView zoomScale="60" zoomScaleNormal="60" workbookViewId="0"/>
  </sheetViews>
  <sheetFormatPr defaultColWidth="9.140625" defaultRowHeight="15" x14ac:dyDescent="0.25"/>
  <cols>
    <col min="1" max="1" width="3.28515625" style="255" customWidth="1"/>
    <col min="2" max="2" width="30.140625" style="255" customWidth="1"/>
    <col min="3" max="3" width="22.42578125" style="255" customWidth="1"/>
    <col min="4" max="4" width="19.140625" style="255" customWidth="1"/>
    <col min="5" max="5" width="11" style="255" customWidth="1"/>
    <col min="6" max="6" width="24.42578125" style="255" bestFit="1" customWidth="1"/>
    <col min="7" max="7" width="21.85546875" style="255" bestFit="1" customWidth="1"/>
    <col min="8" max="8" width="14.85546875" style="255" bestFit="1" customWidth="1"/>
    <col min="9" max="9" width="10.42578125" style="255" customWidth="1"/>
    <col min="10" max="10" width="24" style="255" bestFit="1" customWidth="1"/>
    <col min="11" max="11" width="24.85546875" style="255" bestFit="1" customWidth="1"/>
    <col min="12" max="12" width="34.28515625" style="255" customWidth="1"/>
    <col min="13" max="13" width="4.140625" style="255" customWidth="1"/>
    <col min="14" max="14" width="23" style="255" bestFit="1" customWidth="1"/>
    <col min="15" max="15" width="23.7109375" style="255" bestFit="1" customWidth="1"/>
    <col min="16" max="16" width="17.7109375" style="255" bestFit="1" customWidth="1"/>
    <col min="17" max="17" width="22.140625" style="255" bestFit="1" customWidth="1"/>
    <col min="18" max="19" width="19.140625" style="255" bestFit="1" customWidth="1"/>
    <col min="20" max="16384" width="9.140625" style="255"/>
  </cols>
  <sheetData>
    <row r="2" spans="2:13" x14ac:dyDescent="0.25">
      <c r="B2" s="305" t="s">
        <v>2</v>
      </c>
      <c r="C2" s="306" t="s">
        <v>231</v>
      </c>
      <c r="D2" s="307"/>
      <c r="E2" s="34"/>
      <c r="F2" s="34"/>
      <c r="G2" s="34"/>
      <c r="H2" s="34"/>
      <c r="I2" s="34"/>
      <c r="J2" s="34"/>
      <c r="K2" s="34"/>
      <c r="L2" s="34"/>
      <c r="M2" s="34"/>
    </row>
    <row r="3" spans="2:13" x14ac:dyDescent="0.25">
      <c r="B3" s="308" t="s">
        <v>39</v>
      </c>
      <c r="C3" s="309"/>
      <c r="D3" s="34"/>
      <c r="E3" s="34"/>
      <c r="F3" s="308" t="s">
        <v>38</v>
      </c>
      <c r="G3" s="309"/>
      <c r="H3" s="34"/>
      <c r="I3" s="34"/>
      <c r="J3" s="308" t="s">
        <v>37</v>
      </c>
      <c r="K3" s="309"/>
      <c r="L3" s="34"/>
    </row>
    <row r="4" spans="2:13" x14ac:dyDescent="0.25">
      <c r="B4" s="311" t="s">
        <v>4</v>
      </c>
      <c r="C4" s="312" t="s">
        <v>230</v>
      </c>
      <c r="D4" s="313" t="s">
        <v>35</v>
      </c>
      <c r="E4" s="34"/>
      <c r="F4" s="311" t="s">
        <v>4</v>
      </c>
      <c r="G4" s="312" t="s">
        <v>230</v>
      </c>
      <c r="H4" s="313" t="s">
        <v>35</v>
      </c>
      <c r="I4" s="34"/>
      <c r="J4" s="311" t="s">
        <v>4</v>
      </c>
      <c r="K4" s="312" t="s">
        <v>230</v>
      </c>
      <c r="L4" s="313" t="s">
        <v>35</v>
      </c>
    </row>
    <row r="5" spans="2:13" x14ac:dyDescent="0.25">
      <c r="B5" s="291"/>
      <c r="C5" s="118" t="s">
        <v>5</v>
      </c>
      <c r="D5" s="316">
        <v>18.100000000000001</v>
      </c>
      <c r="E5" s="34"/>
      <c r="F5" s="291"/>
      <c r="G5" s="118" t="s">
        <v>5</v>
      </c>
      <c r="H5" s="316">
        <v>3.62</v>
      </c>
      <c r="I5" s="34"/>
      <c r="J5" s="291"/>
      <c r="K5" s="118" t="s">
        <v>5</v>
      </c>
      <c r="L5" s="316">
        <v>3.54</v>
      </c>
    </row>
    <row r="6" spans="2:13" x14ac:dyDescent="0.25">
      <c r="B6" s="293"/>
      <c r="C6" s="117" t="s">
        <v>6</v>
      </c>
      <c r="D6" s="163">
        <v>13.34</v>
      </c>
      <c r="E6" s="34"/>
      <c r="F6" s="293"/>
      <c r="G6" s="117" t="s">
        <v>6</v>
      </c>
      <c r="H6" s="163">
        <v>2.78</v>
      </c>
      <c r="I6" s="34"/>
      <c r="J6" s="293"/>
      <c r="K6" s="117" t="s">
        <v>6</v>
      </c>
      <c r="L6" s="163">
        <v>3.26</v>
      </c>
    </row>
    <row r="7" spans="2:13" x14ac:dyDescent="0.25">
      <c r="B7" s="293"/>
      <c r="C7" s="117" t="s">
        <v>7</v>
      </c>
      <c r="D7" s="163">
        <v>15.74</v>
      </c>
      <c r="E7" s="34"/>
      <c r="F7" s="293"/>
      <c r="G7" s="117" t="s">
        <v>7</v>
      </c>
      <c r="H7" s="163">
        <v>4.47</v>
      </c>
      <c r="I7" s="34"/>
      <c r="J7" s="293"/>
      <c r="K7" s="117" t="s">
        <v>7</v>
      </c>
      <c r="L7" s="163">
        <v>3.26</v>
      </c>
    </row>
    <row r="8" spans="2:13" x14ac:dyDescent="0.25">
      <c r="B8" s="293"/>
      <c r="C8" s="117" t="s">
        <v>8</v>
      </c>
      <c r="D8" s="163">
        <v>21.6</v>
      </c>
      <c r="E8" s="34"/>
      <c r="F8" s="293"/>
      <c r="G8" s="117" t="s">
        <v>8</v>
      </c>
      <c r="H8" s="163">
        <v>5.33</v>
      </c>
      <c r="I8" s="34"/>
      <c r="J8" s="293"/>
      <c r="K8" s="117" t="s">
        <v>8</v>
      </c>
      <c r="L8" s="163">
        <v>3.84</v>
      </c>
    </row>
    <row r="9" spans="2:13" x14ac:dyDescent="0.25">
      <c r="B9" s="293"/>
      <c r="C9" s="117" t="s">
        <v>14</v>
      </c>
      <c r="D9" s="163">
        <v>13.34</v>
      </c>
      <c r="E9" s="34"/>
      <c r="F9" s="293"/>
      <c r="G9" s="117" t="s">
        <v>14</v>
      </c>
      <c r="H9" s="163">
        <v>9.84</v>
      </c>
      <c r="I9" s="34"/>
      <c r="J9" s="293"/>
      <c r="K9" s="117" t="s">
        <v>14</v>
      </c>
      <c r="L9" s="163">
        <v>4.63</v>
      </c>
    </row>
    <row r="10" spans="2:13" x14ac:dyDescent="0.25">
      <c r="B10" s="293"/>
      <c r="C10" s="117" t="s">
        <v>15</v>
      </c>
      <c r="D10" s="163">
        <v>19.27</v>
      </c>
      <c r="E10" s="34"/>
      <c r="F10" s="293"/>
      <c r="G10" s="117" t="s">
        <v>15</v>
      </c>
      <c r="H10" s="163">
        <v>2.78</v>
      </c>
      <c r="I10" s="34"/>
      <c r="J10" s="293"/>
      <c r="K10" s="117" t="s">
        <v>15</v>
      </c>
      <c r="L10" s="163">
        <v>4.1500000000000004</v>
      </c>
    </row>
    <row r="11" spans="2:13" x14ac:dyDescent="0.25">
      <c r="B11" s="293"/>
      <c r="C11" s="117" t="s">
        <v>19</v>
      </c>
      <c r="D11" s="163">
        <v>37.35</v>
      </c>
      <c r="E11" s="34"/>
      <c r="F11" s="293"/>
      <c r="G11" s="117" t="s">
        <v>19</v>
      </c>
      <c r="H11" s="163">
        <v>5.33</v>
      </c>
      <c r="I11" s="34"/>
      <c r="J11" s="293"/>
      <c r="K11" s="117" t="s">
        <v>19</v>
      </c>
      <c r="L11" s="163">
        <v>3.26</v>
      </c>
    </row>
    <row r="12" spans="2:13" x14ac:dyDescent="0.25">
      <c r="B12" s="293"/>
      <c r="C12" s="117" t="s">
        <v>21</v>
      </c>
      <c r="D12" s="163">
        <v>29.57</v>
      </c>
      <c r="E12" s="34"/>
      <c r="F12" s="293"/>
      <c r="G12" s="117"/>
      <c r="H12" s="317"/>
      <c r="I12" s="34"/>
      <c r="J12" s="293"/>
      <c r="K12" s="117" t="s">
        <v>21</v>
      </c>
      <c r="L12" s="163">
        <v>5.12</v>
      </c>
    </row>
    <row r="13" spans="2:13" x14ac:dyDescent="0.25">
      <c r="B13" s="128" t="s">
        <v>56</v>
      </c>
      <c r="C13" s="55"/>
      <c r="D13" s="17">
        <f>AVERAGE(D5:D12)</f>
        <v>21.03875</v>
      </c>
      <c r="E13" s="34"/>
      <c r="F13" s="128" t="s">
        <v>56</v>
      </c>
      <c r="G13" s="55"/>
      <c r="H13" s="17">
        <f>AVERAGE(H5:H11)</f>
        <v>4.878571428571429</v>
      </c>
      <c r="I13" s="34"/>
      <c r="J13" s="128" t="s">
        <v>56</v>
      </c>
      <c r="K13" s="55"/>
      <c r="L13" s="17">
        <f>AVERAGE(L5:L12)</f>
        <v>3.8824999999999998</v>
      </c>
    </row>
    <row r="14" spans="2:13" x14ac:dyDescent="0.25">
      <c r="B14" s="188" t="s">
        <v>22</v>
      </c>
      <c r="C14" s="55"/>
      <c r="D14" s="17">
        <f>_xlfn.STDEV.S(D5:D12)</f>
        <v>8.430701440907173</v>
      </c>
      <c r="E14" s="34"/>
      <c r="F14" s="197" t="s">
        <v>22</v>
      </c>
      <c r="G14" s="56"/>
      <c r="H14" s="20">
        <f>_xlfn.STDEV.S(H5:H11)</f>
        <v>2.4352373503174065</v>
      </c>
      <c r="I14" s="34"/>
      <c r="J14" s="197" t="s">
        <v>22</v>
      </c>
      <c r="K14" s="56"/>
      <c r="L14" s="20">
        <f>_xlfn.STDEV.S(L5:L12)</f>
        <v>0.70136092196325295</v>
      </c>
    </row>
    <row r="15" spans="2:13" x14ac:dyDescent="0.25">
      <c r="B15" s="318" t="s">
        <v>25</v>
      </c>
      <c r="C15" s="312" t="s">
        <v>230</v>
      </c>
      <c r="D15" s="319" t="s">
        <v>35</v>
      </c>
      <c r="E15" s="34"/>
      <c r="F15" s="320" t="s">
        <v>25</v>
      </c>
      <c r="G15" s="321" t="s">
        <v>230</v>
      </c>
      <c r="H15" s="322" t="s">
        <v>35</v>
      </c>
      <c r="I15" s="34"/>
      <c r="J15" s="320" t="s">
        <v>25</v>
      </c>
      <c r="K15" s="321" t="s">
        <v>230</v>
      </c>
      <c r="L15" s="322" t="s">
        <v>35</v>
      </c>
    </row>
    <row r="16" spans="2:13" x14ac:dyDescent="0.25">
      <c r="B16" s="291"/>
      <c r="C16" s="118" t="s">
        <v>5</v>
      </c>
      <c r="D16" s="323">
        <v>71.430000000000007</v>
      </c>
      <c r="E16" s="34"/>
      <c r="F16" s="291"/>
      <c r="G16" s="118" t="s">
        <v>5</v>
      </c>
      <c r="H16" s="316">
        <v>10.49</v>
      </c>
      <c r="I16" s="34"/>
      <c r="J16" s="291"/>
      <c r="K16" s="118" t="s">
        <v>5</v>
      </c>
      <c r="L16" s="316">
        <v>11.4</v>
      </c>
    </row>
    <row r="17" spans="2:12" x14ac:dyDescent="0.25">
      <c r="B17" s="293"/>
      <c r="C17" s="117" t="s">
        <v>6</v>
      </c>
      <c r="D17" s="181">
        <v>85.84</v>
      </c>
      <c r="E17" s="34"/>
      <c r="F17" s="293"/>
      <c r="G17" s="117" t="s">
        <v>6</v>
      </c>
      <c r="H17" s="163">
        <v>11.36</v>
      </c>
      <c r="I17" s="34"/>
      <c r="J17" s="293"/>
      <c r="K17" s="117" t="s">
        <v>6</v>
      </c>
      <c r="L17" s="163">
        <v>20.91</v>
      </c>
    </row>
    <row r="18" spans="2:12" x14ac:dyDescent="0.25">
      <c r="B18" s="293"/>
      <c r="C18" s="117" t="s">
        <v>7</v>
      </c>
      <c r="D18" s="181">
        <v>65.17</v>
      </c>
      <c r="E18" s="34"/>
      <c r="F18" s="293"/>
      <c r="G18" s="117" t="s">
        <v>7</v>
      </c>
      <c r="H18" s="163">
        <v>38.68</v>
      </c>
      <c r="I18" s="34"/>
      <c r="J18" s="293"/>
      <c r="K18" s="117" t="s">
        <v>7</v>
      </c>
      <c r="L18" s="163">
        <v>20.91</v>
      </c>
    </row>
    <row r="19" spans="2:12" x14ac:dyDescent="0.25">
      <c r="B19" s="293"/>
      <c r="C19" s="117" t="s">
        <v>8</v>
      </c>
      <c r="D19" s="181">
        <v>51.97</v>
      </c>
      <c r="E19" s="34"/>
      <c r="F19" s="293"/>
      <c r="G19" s="117" t="s">
        <v>8</v>
      </c>
      <c r="H19" s="163">
        <v>7.47</v>
      </c>
      <c r="I19" s="34"/>
      <c r="J19" s="293"/>
      <c r="K19" s="117" t="s">
        <v>8</v>
      </c>
      <c r="L19" s="163">
        <v>12.59</v>
      </c>
    </row>
    <row r="20" spans="2:12" x14ac:dyDescent="0.25">
      <c r="B20" s="293"/>
      <c r="C20" s="117" t="s">
        <v>14</v>
      </c>
      <c r="D20" s="181">
        <v>22.18</v>
      </c>
      <c r="E20" s="34"/>
      <c r="F20" s="293"/>
      <c r="G20" s="117" t="s">
        <v>14</v>
      </c>
      <c r="H20" s="163">
        <v>13.1</v>
      </c>
      <c r="I20" s="34"/>
      <c r="J20" s="293"/>
      <c r="K20" s="117" t="s">
        <v>14</v>
      </c>
      <c r="L20" s="163">
        <v>3.26</v>
      </c>
    </row>
    <row r="21" spans="2:12" x14ac:dyDescent="0.25">
      <c r="B21" s="293"/>
      <c r="C21" s="117" t="s">
        <v>15</v>
      </c>
      <c r="D21" s="181">
        <v>20.440000000000001</v>
      </c>
      <c r="E21" s="34"/>
      <c r="F21" s="293"/>
      <c r="G21" s="117" t="s">
        <v>15</v>
      </c>
      <c r="H21" s="163">
        <v>4.05</v>
      </c>
      <c r="I21" s="34"/>
      <c r="J21" s="293"/>
      <c r="K21" s="117" t="s">
        <v>15</v>
      </c>
      <c r="L21" s="163">
        <v>3.54</v>
      </c>
    </row>
    <row r="22" spans="2:12" x14ac:dyDescent="0.25">
      <c r="B22" s="293"/>
      <c r="C22" s="239" t="s">
        <v>19</v>
      </c>
      <c r="D22" s="181">
        <v>30.69</v>
      </c>
      <c r="E22" s="34"/>
      <c r="F22" s="293"/>
      <c r="G22" s="117" t="s">
        <v>19</v>
      </c>
      <c r="H22" s="163">
        <v>5.97</v>
      </c>
      <c r="I22" s="34"/>
      <c r="J22" s="293"/>
      <c r="K22" s="117" t="s">
        <v>19</v>
      </c>
      <c r="L22" s="163">
        <v>3.84</v>
      </c>
    </row>
    <row r="23" spans="2:12" x14ac:dyDescent="0.25">
      <c r="B23" s="293"/>
      <c r="C23" s="239" t="s">
        <v>21</v>
      </c>
      <c r="D23" s="181">
        <v>34.04</v>
      </c>
      <c r="E23" s="34"/>
      <c r="F23" s="293"/>
      <c r="G23" s="117"/>
      <c r="H23" s="317"/>
      <c r="I23" s="34"/>
      <c r="J23" s="293"/>
      <c r="K23" s="117" t="s">
        <v>21</v>
      </c>
      <c r="L23" s="163">
        <v>5.12</v>
      </c>
    </row>
    <row r="24" spans="2:12" x14ac:dyDescent="0.25">
      <c r="B24" s="128" t="s">
        <v>56</v>
      </c>
      <c r="C24" s="55"/>
      <c r="D24" s="17">
        <f>AVERAGE(D16:D23)</f>
        <v>47.72</v>
      </c>
      <c r="E24" s="34"/>
      <c r="F24" s="128" t="s">
        <v>56</v>
      </c>
      <c r="G24" s="55"/>
      <c r="H24" s="17">
        <f>AVERAGE(H16:H22)</f>
        <v>13.017142857142856</v>
      </c>
      <c r="I24" s="34"/>
      <c r="J24" s="128" t="s">
        <v>56</v>
      </c>
      <c r="K24" s="55"/>
      <c r="L24" s="17">
        <f>AVERAGE(L16:L23)</f>
        <v>10.196250000000003</v>
      </c>
    </row>
    <row r="25" spans="2:12" x14ac:dyDescent="0.25">
      <c r="B25" s="188" t="s">
        <v>22</v>
      </c>
      <c r="C25" s="55"/>
      <c r="D25" s="17">
        <f>_xlfn.STDEV.S(D16:D23)</f>
        <v>24.528458107733918</v>
      </c>
      <c r="E25" s="34"/>
      <c r="F25" s="197" t="s">
        <v>22</v>
      </c>
      <c r="G25" s="56"/>
      <c r="H25" s="20">
        <f>_xlfn.STDEV.S(H16:H22)</f>
        <v>11.751342780416932</v>
      </c>
      <c r="I25" s="34"/>
      <c r="J25" s="197" t="s">
        <v>22</v>
      </c>
      <c r="K25" s="56"/>
      <c r="L25" s="20">
        <f>_xlfn.STDEV.S(L16:L23)</f>
        <v>7.5150837605825371</v>
      </c>
    </row>
    <row r="26" spans="2:12" x14ac:dyDescent="0.25">
      <c r="B26" s="318" t="s">
        <v>36</v>
      </c>
      <c r="C26" s="312" t="s">
        <v>230</v>
      </c>
      <c r="D26" s="319" t="s">
        <v>35</v>
      </c>
      <c r="E26" s="34"/>
      <c r="F26" s="320" t="s">
        <v>36</v>
      </c>
      <c r="G26" s="321" t="s">
        <v>230</v>
      </c>
      <c r="H26" s="322" t="s">
        <v>35</v>
      </c>
      <c r="I26" s="34"/>
      <c r="J26" s="320" t="s">
        <v>36</v>
      </c>
      <c r="K26" s="321" t="s">
        <v>230</v>
      </c>
      <c r="L26" s="322" t="s">
        <v>35</v>
      </c>
    </row>
    <row r="27" spans="2:12" x14ac:dyDescent="0.25">
      <c r="B27" s="291"/>
      <c r="C27" s="118" t="s">
        <v>5</v>
      </c>
      <c r="D27" s="323">
        <v>47.14</v>
      </c>
      <c r="E27" s="34"/>
      <c r="F27" s="291"/>
      <c r="G27" s="118" t="s">
        <v>5</v>
      </c>
      <c r="H27" s="316">
        <v>10.49</v>
      </c>
      <c r="I27" s="34"/>
      <c r="J27" s="291"/>
      <c r="K27" s="118" t="s">
        <v>5</v>
      </c>
      <c r="L27" s="316">
        <v>5.46</v>
      </c>
    </row>
    <row r="28" spans="2:12" x14ac:dyDescent="0.25">
      <c r="B28" s="293"/>
      <c r="C28" s="117" t="s">
        <v>6</v>
      </c>
      <c r="D28" s="181">
        <v>34.04</v>
      </c>
      <c r="E28" s="34"/>
      <c r="F28" s="293"/>
      <c r="G28" s="117" t="s">
        <v>6</v>
      </c>
      <c r="H28" s="163">
        <v>4.9000000000000004</v>
      </c>
      <c r="I28" s="34"/>
      <c r="J28" s="293"/>
      <c r="K28" s="117" t="s">
        <v>6</v>
      </c>
      <c r="L28" s="163">
        <v>5.12</v>
      </c>
    </row>
    <row r="29" spans="2:12" x14ac:dyDescent="0.25">
      <c r="B29" s="293"/>
      <c r="C29" s="117" t="s">
        <v>7</v>
      </c>
      <c r="D29" s="181">
        <v>52.5</v>
      </c>
      <c r="E29" s="34"/>
      <c r="F29" s="293"/>
      <c r="G29" s="117" t="s">
        <v>7</v>
      </c>
      <c r="H29" s="163">
        <v>4.6900000000000004</v>
      </c>
      <c r="I29" s="34"/>
      <c r="J29" s="293"/>
      <c r="K29" s="117" t="s">
        <v>7</v>
      </c>
      <c r="L29" s="163">
        <v>4.1500000000000004</v>
      </c>
    </row>
    <row r="30" spans="2:12" x14ac:dyDescent="0.25">
      <c r="B30" s="293"/>
      <c r="C30" s="117" t="s">
        <v>8</v>
      </c>
      <c r="D30" s="181">
        <v>44.98</v>
      </c>
      <c r="E30" s="34"/>
      <c r="F30" s="293"/>
      <c r="G30" s="117" t="s">
        <v>8</v>
      </c>
      <c r="H30" s="163">
        <v>4.05</v>
      </c>
      <c r="I30" s="34"/>
      <c r="J30" s="293"/>
      <c r="K30" s="117" t="s">
        <v>8</v>
      </c>
      <c r="L30" s="163">
        <v>4.1500000000000004</v>
      </c>
    </row>
    <row r="31" spans="2:12" x14ac:dyDescent="0.25">
      <c r="B31" s="293"/>
      <c r="C31" s="117" t="s">
        <v>14</v>
      </c>
      <c r="D31" s="181">
        <v>18.100000000000001</v>
      </c>
      <c r="E31" s="34"/>
      <c r="F31" s="293"/>
      <c r="G31" s="117" t="s">
        <v>14</v>
      </c>
      <c r="H31" s="163">
        <v>4.47</v>
      </c>
      <c r="I31" s="34"/>
      <c r="J31" s="293"/>
      <c r="K31" s="117" t="s">
        <v>14</v>
      </c>
      <c r="L31" s="163">
        <v>3.54</v>
      </c>
    </row>
    <row r="32" spans="2:12" x14ac:dyDescent="0.25">
      <c r="B32" s="293"/>
      <c r="C32" s="117" t="s">
        <v>15</v>
      </c>
      <c r="D32" s="181">
        <v>36.25</v>
      </c>
      <c r="E32" s="34"/>
      <c r="F32" s="293"/>
      <c r="G32" s="117" t="s">
        <v>15</v>
      </c>
      <c r="H32" s="163">
        <v>14.41</v>
      </c>
      <c r="I32" s="34"/>
      <c r="J32" s="293"/>
      <c r="K32" s="117" t="s">
        <v>15</v>
      </c>
      <c r="L32" s="163">
        <v>5.12</v>
      </c>
    </row>
    <row r="33" spans="2:19" x14ac:dyDescent="0.25">
      <c r="B33" s="293"/>
      <c r="C33" s="117" t="s">
        <v>19</v>
      </c>
      <c r="D33" s="181">
        <v>40.090000000000003</v>
      </c>
      <c r="E33" s="34"/>
      <c r="F33" s="293"/>
      <c r="G33" s="117" t="s">
        <v>19</v>
      </c>
      <c r="H33" s="163">
        <v>4.05</v>
      </c>
      <c r="I33" s="34"/>
      <c r="J33" s="293"/>
      <c r="K33" s="117" t="s">
        <v>19</v>
      </c>
      <c r="L33" s="163">
        <v>4.63</v>
      </c>
      <c r="N33" s="324"/>
      <c r="O33" s="324"/>
      <c r="P33" s="324"/>
      <c r="Q33" s="325"/>
      <c r="R33" s="324"/>
      <c r="S33" s="324"/>
    </row>
    <row r="34" spans="2:19" x14ac:dyDescent="0.25">
      <c r="B34" s="293"/>
      <c r="C34" s="117" t="s">
        <v>21</v>
      </c>
      <c r="D34" s="181">
        <v>42.82</v>
      </c>
      <c r="E34" s="34"/>
      <c r="F34" s="293"/>
      <c r="G34" s="117" t="s">
        <v>21</v>
      </c>
      <c r="H34" s="163">
        <v>16.600000000000001</v>
      </c>
      <c r="I34" s="34"/>
      <c r="J34" s="293"/>
      <c r="K34" s="117" t="s">
        <v>21</v>
      </c>
      <c r="L34" s="163">
        <v>5.8</v>
      </c>
      <c r="N34" s="324"/>
      <c r="O34" s="324"/>
      <c r="P34" s="324"/>
      <c r="Q34" s="325"/>
      <c r="R34" s="324"/>
      <c r="S34" s="324"/>
    </row>
    <row r="35" spans="2:19" x14ac:dyDescent="0.25">
      <c r="B35" s="293"/>
      <c r="C35" s="117" t="s">
        <v>23</v>
      </c>
      <c r="D35" s="181">
        <v>39.549999999999997</v>
      </c>
      <c r="E35" s="34"/>
      <c r="F35" s="293"/>
      <c r="G35" s="117" t="s">
        <v>23</v>
      </c>
      <c r="H35" s="163">
        <v>3.2</v>
      </c>
      <c r="I35" s="34"/>
      <c r="J35" s="293"/>
      <c r="K35" s="117" t="s">
        <v>23</v>
      </c>
      <c r="L35" s="163">
        <v>4.63</v>
      </c>
      <c r="N35" s="324"/>
      <c r="O35" s="324"/>
      <c r="P35" s="324"/>
      <c r="Q35" s="325"/>
      <c r="R35" s="324"/>
      <c r="S35" s="324"/>
    </row>
    <row r="36" spans="2:19" x14ac:dyDescent="0.25">
      <c r="B36" s="293"/>
      <c r="C36" s="117" t="s">
        <v>24</v>
      </c>
      <c r="D36" s="181">
        <v>43.9</v>
      </c>
      <c r="E36" s="34"/>
      <c r="F36" s="293"/>
      <c r="G36" s="117" t="s">
        <v>24</v>
      </c>
      <c r="H36" s="163">
        <v>4.05</v>
      </c>
      <c r="I36" s="34"/>
      <c r="J36" s="293"/>
      <c r="K36" s="117" t="s">
        <v>24</v>
      </c>
      <c r="L36" s="163">
        <v>3.26</v>
      </c>
      <c r="Q36" s="34"/>
    </row>
    <row r="37" spans="2:19" x14ac:dyDescent="0.25">
      <c r="B37" s="293"/>
      <c r="C37" s="117" t="s">
        <v>26</v>
      </c>
      <c r="D37" s="181">
        <v>36.799999999999997</v>
      </c>
      <c r="E37" s="34"/>
      <c r="F37" s="293"/>
      <c r="G37" s="117" t="s">
        <v>26</v>
      </c>
      <c r="H37" s="163">
        <v>25.89</v>
      </c>
      <c r="I37" s="34"/>
      <c r="J37" s="293"/>
      <c r="K37" s="117" t="s">
        <v>26</v>
      </c>
      <c r="L37" s="163">
        <v>3.84</v>
      </c>
      <c r="Q37" s="34"/>
    </row>
    <row r="38" spans="2:19" x14ac:dyDescent="0.25">
      <c r="B38" s="293"/>
      <c r="C38" s="117" t="s">
        <v>27</v>
      </c>
      <c r="D38" s="181">
        <v>32.92</v>
      </c>
      <c r="E38" s="34"/>
      <c r="F38" s="293"/>
      <c r="G38" s="117" t="s">
        <v>27</v>
      </c>
      <c r="H38" s="163">
        <v>6.61</v>
      </c>
      <c r="I38" s="34"/>
      <c r="J38" s="293"/>
      <c r="K38" s="117" t="s">
        <v>27</v>
      </c>
      <c r="L38" s="163">
        <v>4</v>
      </c>
      <c r="Q38" s="34"/>
    </row>
    <row r="39" spans="2:19" x14ac:dyDescent="0.25">
      <c r="B39" s="293"/>
      <c r="C39" s="117" t="s">
        <v>28</v>
      </c>
      <c r="D39" s="181">
        <v>18.100000000000001</v>
      </c>
      <c r="E39" s="34"/>
      <c r="F39" s="293"/>
      <c r="G39" s="117" t="s">
        <v>28</v>
      </c>
      <c r="H39" s="163">
        <v>2.78</v>
      </c>
      <c r="I39" s="34"/>
      <c r="J39" s="293"/>
      <c r="K39" s="117" t="s">
        <v>28</v>
      </c>
      <c r="L39" s="326">
        <v>3.26</v>
      </c>
      <c r="Q39" s="34"/>
    </row>
    <row r="40" spans="2:19" x14ac:dyDescent="0.25">
      <c r="B40" s="293"/>
      <c r="C40" s="117" t="s">
        <v>30</v>
      </c>
      <c r="D40" s="181">
        <v>18.100000000000001</v>
      </c>
      <c r="E40" s="34"/>
      <c r="F40" s="293"/>
      <c r="G40" s="117"/>
      <c r="H40" s="317"/>
      <c r="I40" s="34"/>
      <c r="J40" s="293"/>
      <c r="K40" s="117" t="s">
        <v>30</v>
      </c>
      <c r="L40" s="163">
        <v>3.54</v>
      </c>
      <c r="Q40" s="34"/>
    </row>
    <row r="41" spans="2:19" x14ac:dyDescent="0.25">
      <c r="B41" s="128" t="s">
        <v>56</v>
      </c>
      <c r="C41" s="55"/>
      <c r="D41" s="17">
        <f>AVERAGE(D27:D40)</f>
        <v>36.092142857142861</v>
      </c>
      <c r="E41" s="34"/>
      <c r="F41" s="128" t="s">
        <v>56</v>
      </c>
      <c r="G41" s="55"/>
      <c r="H41" s="17">
        <f>AVERAGE(H27:H39)</f>
        <v>8.1684615384615391</v>
      </c>
      <c r="I41" s="34"/>
      <c r="J41" s="128" t="s">
        <v>56</v>
      </c>
      <c r="K41" s="55"/>
      <c r="L41" s="17">
        <f>AVERAGE(L27:L40)</f>
        <v>4.3214285714285712</v>
      </c>
      <c r="Q41" s="34"/>
    </row>
    <row r="42" spans="2:19" x14ac:dyDescent="0.25">
      <c r="B42" s="197" t="s">
        <v>22</v>
      </c>
      <c r="C42" s="56"/>
      <c r="D42" s="20">
        <f>_xlfn.STDEV.S(D27:D40)</f>
        <v>11.060618412653492</v>
      </c>
      <c r="E42" s="34"/>
      <c r="F42" s="197" t="s">
        <v>22</v>
      </c>
      <c r="G42" s="56"/>
      <c r="H42" s="20">
        <f>_xlfn.STDEV.S(H27:H39)</f>
        <v>6.9100552893999421</v>
      </c>
      <c r="I42" s="34"/>
      <c r="J42" s="197" t="s">
        <v>22</v>
      </c>
      <c r="K42" s="56"/>
      <c r="L42" s="20">
        <f>_xlfn.STDEV.S(L27:L40)</f>
        <v>0.82353699784113599</v>
      </c>
      <c r="Q42" s="34"/>
    </row>
    <row r="43" spans="2:19" x14ac:dyDescent="0.25"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Q43" s="34"/>
    </row>
    <row r="44" spans="2:19" x14ac:dyDescent="0.25">
      <c r="E44" s="245"/>
      <c r="L44" s="245"/>
      <c r="Q44" s="34"/>
    </row>
    <row r="45" spans="2:19" x14ac:dyDescent="0.25">
      <c r="E45" s="180"/>
      <c r="L45" s="180"/>
      <c r="Q45" s="34"/>
    </row>
    <row r="46" spans="2:19" x14ac:dyDescent="0.25">
      <c r="E46" s="245"/>
      <c r="L46" s="245"/>
      <c r="M46" s="34"/>
      <c r="Q46" s="34"/>
    </row>
    <row r="47" spans="2:19" x14ac:dyDescent="0.25">
      <c r="E47" s="245"/>
      <c r="L47" s="245"/>
      <c r="M47" s="247"/>
      <c r="N47" s="34"/>
      <c r="O47" s="34"/>
      <c r="P47" s="34"/>
      <c r="Q47" s="34"/>
    </row>
    <row r="48" spans="2:19" x14ac:dyDescent="0.25">
      <c r="E48" s="245"/>
      <c r="L48" s="245"/>
      <c r="M48" s="247"/>
      <c r="N48" s="247"/>
      <c r="O48" s="247"/>
      <c r="P48" s="247"/>
      <c r="Q48" s="247"/>
      <c r="R48" s="247"/>
      <c r="S48" s="247"/>
    </row>
    <row r="49" spans="5:19" x14ac:dyDescent="0.25">
      <c r="E49" s="245"/>
      <c r="L49" s="245"/>
      <c r="M49" s="247"/>
      <c r="N49" s="180"/>
      <c r="O49" s="180"/>
      <c r="P49" s="180"/>
      <c r="Q49" s="247"/>
      <c r="R49" s="247"/>
      <c r="S49" s="247"/>
    </row>
    <row r="50" spans="5:19" x14ac:dyDescent="0.25">
      <c r="E50" s="245"/>
      <c r="L50" s="245"/>
      <c r="M50" s="247"/>
      <c r="N50" s="333"/>
      <c r="O50" s="185"/>
      <c r="P50" s="185"/>
      <c r="Q50" s="247"/>
      <c r="R50" s="247"/>
      <c r="S50" s="247"/>
    </row>
    <row r="51" spans="5:19" x14ac:dyDescent="0.25">
      <c r="E51" s="245"/>
      <c r="L51" s="245"/>
      <c r="M51" s="247"/>
      <c r="N51" s="247"/>
      <c r="O51" s="184"/>
      <c r="P51" s="184"/>
      <c r="Q51" s="247"/>
      <c r="R51" s="247"/>
      <c r="S51" s="247"/>
    </row>
    <row r="52" spans="5:19" x14ac:dyDescent="0.25">
      <c r="E52" s="245"/>
      <c r="L52" s="245"/>
      <c r="M52" s="247"/>
      <c r="N52" s="333"/>
      <c r="O52" s="185"/>
      <c r="P52" s="185"/>
      <c r="Q52" s="247"/>
      <c r="R52" s="247"/>
      <c r="S52" s="247"/>
    </row>
    <row r="53" spans="5:19" x14ac:dyDescent="0.25">
      <c r="E53" s="245"/>
      <c r="L53" s="245"/>
      <c r="M53" s="247"/>
      <c r="N53" s="247"/>
      <c r="O53" s="245"/>
      <c r="P53" s="245"/>
      <c r="Q53" s="247"/>
      <c r="R53" s="247"/>
      <c r="S53" s="247"/>
    </row>
    <row r="54" spans="5:19" x14ac:dyDescent="0.25">
      <c r="E54" s="245"/>
      <c r="L54" s="245"/>
      <c r="M54" s="247"/>
      <c r="N54" s="180"/>
      <c r="O54" s="180"/>
      <c r="P54" s="180"/>
      <c r="Q54" s="247"/>
      <c r="R54" s="247"/>
      <c r="S54" s="247"/>
    </row>
    <row r="55" spans="5:19" x14ac:dyDescent="0.25">
      <c r="E55" s="245"/>
      <c r="L55" s="245"/>
      <c r="M55" s="247"/>
      <c r="N55" s="333"/>
      <c r="O55" s="185"/>
      <c r="P55" s="185"/>
      <c r="Q55" s="247"/>
      <c r="R55" s="247"/>
      <c r="S55" s="247"/>
    </row>
    <row r="56" spans="5:19" x14ac:dyDescent="0.25">
      <c r="E56" s="245"/>
      <c r="L56" s="245"/>
      <c r="M56" s="247"/>
      <c r="N56" s="247"/>
      <c r="O56" s="184"/>
      <c r="P56" s="184"/>
      <c r="Q56" s="247"/>
      <c r="R56" s="247"/>
      <c r="S56" s="247"/>
    </row>
    <row r="57" spans="5:19" x14ac:dyDescent="0.25">
      <c r="E57" s="245"/>
      <c r="L57" s="245"/>
      <c r="M57" s="247"/>
      <c r="N57" s="333"/>
      <c r="O57" s="185"/>
      <c r="P57" s="185"/>
      <c r="Q57" s="247"/>
      <c r="R57" s="247"/>
      <c r="S57" s="247"/>
    </row>
    <row r="58" spans="5:19" x14ac:dyDescent="0.25">
      <c r="E58" s="245"/>
      <c r="L58" s="245"/>
      <c r="M58" s="247"/>
      <c r="N58" s="247"/>
      <c r="O58" s="245"/>
      <c r="P58" s="245"/>
      <c r="Q58" s="247"/>
      <c r="R58" s="247"/>
      <c r="S58" s="247"/>
    </row>
    <row r="59" spans="5:19" x14ac:dyDescent="0.25">
      <c r="E59" s="245"/>
      <c r="L59" s="245"/>
      <c r="M59" s="247"/>
      <c r="N59" s="180"/>
      <c r="O59" s="180"/>
      <c r="P59" s="180"/>
      <c r="Q59" s="247"/>
      <c r="R59" s="247"/>
      <c r="S59" s="247"/>
    </row>
    <row r="60" spans="5:19" x14ac:dyDescent="0.25">
      <c r="E60" s="245"/>
      <c r="L60" s="245"/>
      <c r="M60" s="247"/>
      <c r="N60" s="333"/>
      <c r="O60" s="185"/>
      <c r="P60" s="185"/>
      <c r="Q60" s="247"/>
      <c r="R60" s="247"/>
      <c r="S60" s="247"/>
    </row>
    <row r="61" spans="5:19" x14ac:dyDescent="0.25">
      <c r="E61" s="245"/>
      <c r="L61" s="245"/>
      <c r="M61" s="247"/>
      <c r="N61" s="247"/>
      <c r="O61" s="184"/>
      <c r="P61" s="184"/>
      <c r="Q61" s="247"/>
      <c r="R61" s="247"/>
      <c r="S61" s="247"/>
    </row>
    <row r="62" spans="5:19" x14ac:dyDescent="0.25">
      <c r="E62" s="245"/>
      <c r="L62" s="245"/>
      <c r="M62" s="247"/>
      <c r="N62" s="333"/>
      <c r="O62" s="185"/>
      <c r="P62" s="185"/>
      <c r="Q62" s="247"/>
      <c r="R62" s="247"/>
      <c r="S62" s="247"/>
    </row>
    <row r="63" spans="5:19" x14ac:dyDescent="0.25">
      <c r="E63" s="245"/>
      <c r="L63" s="245"/>
      <c r="M63" s="247"/>
      <c r="N63" s="247"/>
      <c r="O63" s="247"/>
      <c r="P63" s="247"/>
      <c r="Q63" s="247"/>
      <c r="R63" s="247"/>
      <c r="S63" s="247"/>
    </row>
    <row r="64" spans="5:19" x14ac:dyDescent="0.25">
      <c r="E64" s="245"/>
      <c r="L64" s="245"/>
      <c r="M64" s="247"/>
      <c r="N64" s="180"/>
      <c r="O64" s="180"/>
      <c r="P64" s="180"/>
      <c r="Q64" s="247"/>
      <c r="R64" s="247"/>
      <c r="S64" s="247"/>
    </row>
    <row r="65" spans="2:19" x14ac:dyDescent="0.25">
      <c r="E65" s="245"/>
      <c r="L65" s="245"/>
      <c r="M65" s="247"/>
      <c r="N65" s="333"/>
      <c r="O65" s="185"/>
      <c r="P65" s="185"/>
      <c r="Q65" s="247"/>
      <c r="R65" s="247"/>
      <c r="S65" s="247"/>
    </row>
    <row r="66" spans="2:19" x14ac:dyDescent="0.25">
      <c r="E66" s="245"/>
      <c r="L66" s="245"/>
      <c r="M66" s="247"/>
      <c r="N66" s="247"/>
      <c r="O66" s="184"/>
      <c r="P66" s="184"/>
      <c r="Q66" s="247"/>
      <c r="R66" s="247"/>
      <c r="S66" s="247"/>
    </row>
    <row r="67" spans="2:19" x14ac:dyDescent="0.25">
      <c r="E67" s="245"/>
      <c r="L67" s="245"/>
      <c r="M67" s="247"/>
      <c r="N67" s="333"/>
      <c r="O67" s="185"/>
      <c r="P67" s="185"/>
      <c r="Q67" s="247"/>
      <c r="R67" s="247"/>
      <c r="S67" s="247"/>
    </row>
    <row r="68" spans="2:19" x14ac:dyDescent="0.25">
      <c r="C68" s="298"/>
      <c r="E68" s="245"/>
      <c r="F68" s="245"/>
      <c r="G68" s="336"/>
      <c r="H68" s="336"/>
      <c r="I68" s="336"/>
      <c r="J68" s="336"/>
      <c r="K68" s="336"/>
      <c r="L68" s="245"/>
      <c r="M68" s="247"/>
      <c r="N68" s="247"/>
      <c r="O68" s="247"/>
      <c r="P68" s="247"/>
      <c r="Q68" s="247"/>
      <c r="R68" s="247"/>
      <c r="S68" s="247"/>
    </row>
    <row r="69" spans="2:19" x14ac:dyDescent="0.25">
      <c r="E69" s="247"/>
      <c r="F69" s="245"/>
      <c r="G69" s="336"/>
      <c r="H69" s="336"/>
      <c r="I69" s="336"/>
      <c r="J69" s="336"/>
      <c r="K69" s="336"/>
      <c r="L69" s="247"/>
      <c r="M69" s="247"/>
      <c r="N69" s="180"/>
      <c r="O69" s="180"/>
      <c r="P69" s="180"/>
      <c r="Q69" s="247"/>
      <c r="R69" s="247"/>
      <c r="S69" s="247"/>
    </row>
    <row r="70" spans="2:19" x14ac:dyDescent="0.25">
      <c r="E70" s="245"/>
      <c r="F70" s="245"/>
      <c r="G70" s="324"/>
      <c r="H70" s="324"/>
      <c r="I70" s="324"/>
      <c r="J70" s="324"/>
      <c r="K70" s="324"/>
      <c r="L70" s="245"/>
      <c r="M70" s="247"/>
      <c r="N70" s="333"/>
      <c r="O70" s="185"/>
      <c r="P70" s="185"/>
      <c r="Q70" s="247"/>
      <c r="R70" s="247"/>
      <c r="S70" s="247"/>
    </row>
    <row r="71" spans="2:19" x14ac:dyDescent="0.25">
      <c r="B71" s="337"/>
      <c r="C71" s="180"/>
      <c r="D71" s="180"/>
      <c r="E71" s="337"/>
      <c r="F71" s="337"/>
      <c r="G71" s="337"/>
      <c r="H71" s="337"/>
      <c r="I71" s="337"/>
      <c r="J71" s="337"/>
      <c r="K71" s="149"/>
      <c r="L71" s="180"/>
      <c r="M71" s="247"/>
      <c r="N71" s="247"/>
      <c r="O71" s="184"/>
      <c r="P71" s="184"/>
      <c r="Q71" s="247"/>
      <c r="R71" s="247"/>
      <c r="S71" s="247"/>
    </row>
    <row r="72" spans="2:19" x14ac:dyDescent="0.25">
      <c r="B72" s="245"/>
      <c r="J72" s="245"/>
      <c r="K72" s="245"/>
      <c r="L72" s="245"/>
      <c r="M72" s="247"/>
      <c r="N72" s="333"/>
      <c r="O72" s="185"/>
      <c r="P72" s="185"/>
      <c r="Q72" s="247"/>
      <c r="R72" s="247"/>
      <c r="S72" s="247"/>
    </row>
    <row r="73" spans="2:19" x14ac:dyDescent="0.25">
      <c r="B73" s="245"/>
      <c r="C73" s="245"/>
      <c r="D73" s="245"/>
      <c r="E73" s="245"/>
      <c r="F73" s="245"/>
      <c r="G73" s="245"/>
      <c r="H73" s="245"/>
      <c r="I73" s="245"/>
      <c r="J73" s="245"/>
      <c r="K73" s="245"/>
      <c r="L73" s="245"/>
      <c r="M73" s="247"/>
      <c r="N73" s="247"/>
      <c r="O73" s="247"/>
      <c r="P73" s="247"/>
      <c r="Q73" s="247"/>
      <c r="R73" s="247"/>
      <c r="S73" s="247"/>
    </row>
    <row r="74" spans="2:19" x14ac:dyDescent="0.25">
      <c r="B74" s="245"/>
      <c r="C74" s="245"/>
      <c r="D74" s="245"/>
      <c r="E74" s="245"/>
      <c r="F74" s="245"/>
      <c r="G74" s="245"/>
      <c r="H74" s="245"/>
      <c r="I74" s="245"/>
      <c r="J74" s="245"/>
      <c r="K74" s="245"/>
      <c r="L74" s="245"/>
      <c r="M74" s="247"/>
      <c r="N74" s="180"/>
      <c r="O74" s="180"/>
      <c r="P74" s="180"/>
      <c r="Q74" s="247"/>
      <c r="R74" s="247"/>
      <c r="S74" s="247"/>
    </row>
    <row r="75" spans="2:19" x14ac:dyDescent="0.25">
      <c r="B75" s="245"/>
      <c r="C75" s="245"/>
      <c r="D75" s="245"/>
      <c r="E75" s="245"/>
      <c r="F75" s="245"/>
      <c r="G75" s="245"/>
      <c r="H75" s="245"/>
      <c r="I75" s="245"/>
      <c r="J75" s="245"/>
      <c r="K75" s="245"/>
      <c r="L75" s="245"/>
      <c r="M75" s="247"/>
      <c r="N75" s="333"/>
      <c r="O75" s="185"/>
      <c r="P75" s="185"/>
      <c r="Q75" s="247"/>
      <c r="R75" s="247"/>
      <c r="S75" s="247"/>
    </row>
    <row r="76" spans="2:19" x14ac:dyDescent="0.25">
      <c r="B76" s="245"/>
      <c r="C76" s="245"/>
      <c r="D76" s="245"/>
      <c r="E76" s="245"/>
      <c r="F76" s="245"/>
      <c r="G76" s="245"/>
      <c r="H76" s="245"/>
      <c r="I76" s="245"/>
      <c r="J76" s="245"/>
      <c r="K76" s="245"/>
      <c r="L76" s="245"/>
      <c r="M76" s="247"/>
      <c r="N76" s="247"/>
      <c r="O76" s="184"/>
      <c r="P76" s="184"/>
      <c r="Q76" s="247"/>
      <c r="R76" s="247"/>
      <c r="S76" s="247"/>
    </row>
    <row r="77" spans="2:19" x14ac:dyDescent="0.25">
      <c r="B77" s="245"/>
      <c r="C77" s="245"/>
      <c r="D77" s="245"/>
      <c r="E77" s="245"/>
      <c r="F77" s="245"/>
      <c r="G77" s="245"/>
      <c r="H77" s="245"/>
      <c r="I77" s="245"/>
      <c r="J77" s="245"/>
      <c r="K77" s="245"/>
      <c r="L77" s="245"/>
      <c r="M77" s="247"/>
      <c r="N77" s="333"/>
      <c r="O77" s="185"/>
      <c r="P77" s="185"/>
      <c r="Q77" s="247"/>
      <c r="R77" s="247"/>
      <c r="S77" s="247"/>
    </row>
    <row r="78" spans="2:19" x14ac:dyDescent="0.25">
      <c r="B78" s="338"/>
      <c r="C78" s="338"/>
      <c r="D78" s="245"/>
      <c r="E78" s="245"/>
      <c r="F78" s="245"/>
      <c r="G78" s="245"/>
      <c r="H78" s="245"/>
      <c r="I78" s="245"/>
      <c r="J78" s="245"/>
      <c r="K78" s="245"/>
      <c r="L78" s="245"/>
      <c r="M78" s="247"/>
      <c r="N78" s="247"/>
      <c r="O78" s="247"/>
      <c r="P78" s="247"/>
      <c r="Q78" s="247"/>
      <c r="R78" s="247"/>
      <c r="S78" s="247"/>
    </row>
    <row r="79" spans="2:19" x14ac:dyDescent="0.25">
      <c r="B79" s="338"/>
      <c r="C79" s="338"/>
      <c r="D79" s="245"/>
      <c r="E79" s="245"/>
      <c r="F79" s="245"/>
      <c r="G79" s="245"/>
      <c r="H79" s="245"/>
      <c r="I79" s="245"/>
      <c r="J79" s="245"/>
      <c r="K79" s="245"/>
      <c r="L79" s="245"/>
      <c r="M79" s="247"/>
      <c r="N79" s="180"/>
      <c r="O79" s="180"/>
      <c r="P79" s="180"/>
      <c r="Q79" s="247"/>
      <c r="R79" s="247"/>
      <c r="S79" s="247"/>
    </row>
    <row r="80" spans="2:19" x14ac:dyDescent="0.25">
      <c r="B80" s="245"/>
      <c r="C80" s="245"/>
      <c r="D80" s="245"/>
      <c r="E80" s="245"/>
      <c r="F80" s="245"/>
      <c r="G80" s="245"/>
      <c r="H80" s="245"/>
      <c r="I80" s="245"/>
      <c r="J80" s="245"/>
      <c r="K80" s="245"/>
      <c r="L80" s="245"/>
      <c r="M80" s="247"/>
      <c r="N80" s="333"/>
      <c r="O80" s="185"/>
      <c r="P80" s="185"/>
      <c r="Q80" s="247"/>
      <c r="R80" s="247"/>
      <c r="S80" s="247"/>
    </row>
    <row r="81" spans="2:19" x14ac:dyDescent="0.25">
      <c r="B81" s="245"/>
      <c r="C81" s="245"/>
      <c r="D81" s="245"/>
      <c r="E81" s="245"/>
      <c r="F81" s="245"/>
      <c r="G81" s="245"/>
      <c r="H81" s="245"/>
      <c r="I81" s="245"/>
      <c r="J81" s="245"/>
      <c r="K81" s="245"/>
      <c r="L81" s="245"/>
      <c r="M81" s="247"/>
      <c r="N81" s="247"/>
      <c r="O81" s="184"/>
      <c r="P81" s="184"/>
      <c r="Q81" s="247"/>
      <c r="R81" s="247"/>
      <c r="S81" s="247"/>
    </row>
    <row r="82" spans="2:19" x14ac:dyDescent="0.25">
      <c r="B82" s="245"/>
      <c r="C82" s="245"/>
      <c r="D82" s="245"/>
      <c r="E82" s="245"/>
      <c r="F82" s="245"/>
      <c r="G82" s="245"/>
      <c r="H82" s="245"/>
      <c r="I82" s="245"/>
      <c r="J82" s="245"/>
      <c r="K82" s="245"/>
      <c r="L82" s="245"/>
      <c r="M82" s="247"/>
      <c r="N82" s="333"/>
      <c r="O82" s="185"/>
      <c r="P82" s="185"/>
      <c r="Q82" s="247"/>
      <c r="R82" s="247"/>
      <c r="S82" s="247"/>
    </row>
    <row r="83" spans="2:19" x14ac:dyDescent="0.25">
      <c r="B83" s="245"/>
      <c r="C83" s="245"/>
      <c r="D83" s="245"/>
      <c r="E83" s="245"/>
      <c r="F83" s="245"/>
      <c r="G83" s="245"/>
      <c r="H83" s="245"/>
      <c r="I83" s="245"/>
      <c r="J83" s="245"/>
      <c r="K83" s="245"/>
      <c r="L83" s="245"/>
      <c r="M83" s="247"/>
      <c r="N83" s="247"/>
      <c r="O83" s="247"/>
      <c r="P83" s="247"/>
      <c r="Q83" s="247"/>
      <c r="R83" s="247"/>
      <c r="S83" s="247"/>
    </row>
    <row r="84" spans="2:19" x14ac:dyDescent="0.25">
      <c r="B84" s="245"/>
      <c r="C84" s="245"/>
      <c r="D84" s="245"/>
      <c r="E84" s="245"/>
      <c r="F84" s="245"/>
      <c r="G84" s="245"/>
      <c r="H84" s="245"/>
      <c r="I84" s="245"/>
      <c r="J84" s="245"/>
      <c r="K84" s="245"/>
      <c r="L84" s="245"/>
      <c r="M84" s="247"/>
      <c r="N84" s="339"/>
      <c r="O84" s="247"/>
      <c r="P84" s="247"/>
      <c r="Q84" s="247"/>
      <c r="R84" s="247"/>
      <c r="S84" s="247"/>
    </row>
    <row r="85" spans="2:19" x14ac:dyDescent="0.25">
      <c r="B85" s="245"/>
      <c r="C85" s="245"/>
      <c r="D85" s="245"/>
      <c r="E85" s="245"/>
      <c r="F85" s="245"/>
      <c r="G85" s="245"/>
      <c r="H85" s="245"/>
      <c r="I85" s="245"/>
      <c r="J85" s="245"/>
      <c r="K85" s="245"/>
      <c r="L85" s="245"/>
      <c r="M85" s="247"/>
      <c r="N85" s="459"/>
      <c r="O85" s="459"/>
      <c r="P85" s="247"/>
      <c r="Q85" s="247"/>
      <c r="R85" s="247"/>
      <c r="S85" s="247"/>
    </row>
    <row r="86" spans="2:19" x14ac:dyDescent="0.25">
      <c r="B86" s="245"/>
      <c r="C86" s="245"/>
      <c r="D86" s="245"/>
      <c r="E86" s="245"/>
      <c r="F86" s="245"/>
      <c r="G86" s="245"/>
      <c r="H86" s="245"/>
      <c r="I86" s="245"/>
      <c r="J86" s="245"/>
      <c r="K86" s="245"/>
      <c r="L86" s="245"/>
      <c r="M86" s="247"/>
      <c r="N86" s="337"/>
      <c r="O86" s="180"/>
      <c r="P86" s="247"/>
      <c r="Q86" s="247"/>
      <c r="R86" s="247"/>
      <c r="S86" s="247"/>
    </row>
    <row r="87" spans="2:19" x14ac:dyDescent="0.25">
      <c r="B87" s="245"/>
      <c r="C87" s="245"/>
      <c r="D87" s="245"/>
      <c r="E87" s="245"/>
      <c r="F87" s="245"/>
      <c r="G87" s="245"/>
      <c r="H87" s="245"/>
      <c r="I87" s="245"/>
      <c r="J87" s="245"/>
      <c r="K87" s="245"/>
      <c r="L87" s="245"/>
      <c r="M87" s="247"/>
      <c r="N87" s="249"/>
      <c r="O87" s="245"/>
      <c r="P87" s="247"/>
      <c r="Q87" s="247"/>
      <c r="R87" s="247"/>
      <c r="S87" s="247"/>
    </row>
    <row r="88" spans="2:19" x14ac:dyDescent="0.25">
      <c r="B88" s="245"/>
      <c r="C88" s="245"/>
      <c r="D88" s="245"/>
      <c r="E88" s="245"/>
      <c r="F88" s="245"/>
      <c r="G88" s="245"/>
      <c r="H88" s="245"/>
      <c r="I88" s="245"/>
      <c r="J88" s="245"/>
      <c r="K88" s="245"/>
      <c r="L88" s="245"/>
      <c r="M88" s="247"/>
      <c r="N88" s="249"/>
      <c r="O88" s="245"/>
      <c r="P88" s="247"/>
      <c r="Q88" s="247"/>
      <c r="R88" s="247"/>
      <c r="S88" s="247"/>
    </row>
    <row r="89" spans="2:19" x14ac:dyDescent="0.25">
      <c r="B89" s="245"/>
      <c r="C89" s="245"/>
      <c r="D89" s="245"/>
      <c r="E89" s="245"/>
      <c r="F89" s="245"/>
      <c r="G89" s="245"/>
      <c r="H89" s="245"/>
      <c r="I89" s="245"/>
      <c r="J89" s="245"/>
      <c r="K89" s="245"/>
      <c r="L89" s="245"/>
      <c r="M89" s="247"/>
      <c r="N89" s="249"/>
      <c r="O89" s="245"/>
      <c r="P89" s="247"/>
      <c r="Q89" s="247"/>
      <c r="R89" s="247"/>
      <c r="S89" s="247"/>
    </row>
    <row r="90" spans="2:19" x14ac:dyDescent="0.25">
      <c r="B90" s="245"/>
      <c r="C90" s="245"/>
      <c r="D90" s="245"/>
      <c r="E90" s="245"/>
      <c r="F90" s="245"/>
      <c r="G90" s="245"/>
      <c r="H90" s="245"/>
      <c r="I90" s="245"/>
      <c r="J90" s="245"/>
      <c r="K90" s="245"/>
      <c r="L90" s="245"/>
      <c r="M90" s="247"/>
      <c r="N90" s="249"/>
      <c r="O90" s="245"/>
      <c r="P90" s="247"/>
      <c r="Q90" s="247"/>
      <c r="R90" s="247"/>
      <c r="S90" s="247"/>
    </row>
    <row r="91" spans="2:19" x14ac:dyDescent="0.25">
      <c r="B91" s="245"/>
      <c r="C91" s="245"/>
      <c r="D91" s="245"/>
      <c r="E91" s="245"/>
      <c r="F91" s="245"/>
      <c r="G91" s="245"/>
      <c r="H91" s="245"/>
      <c r="I91" s="245"/>
      <c r="J91" s="245"/>
      <c r="K91" s="245"/>
      <c r="L91" s="245"/>
      <c r="M91" s="247"/>
      <c r="N91" s="249"/>
      <c r="O91" s="245"/>
      <c r="P91" s="247"/>
      <c r="Q91" s="247"/>
      <c r="R91" s="247"/>
      <c r="S91" s="247"/>
    </row>
    <row r="92" spans="2:19" x14ac:dyDescent="0.25">
      <c r="B92" s="245"/>
      <c r="C92" s="245"/>
      <c r="D92" s="245"/>
      <c r="E92" s="245"/>
      <c r="F92" s="245"/>
      <c r="G92" s="245"/>
      <c r="H92" s="245"/>
      <c r="I92" s="245"/>
      <c r="J92" s="245"/>
      <c r="K92" s="245"/>
      <c r="L92" s="245"/>
      <c r="M92" s="247"/>
      <c r="N92" s="249"/>
      <c r="O92" s="245"/>
      <c r="P92" s="247"/>
      <c r="Q92" s="247"/>
      <c r="R92" s="247"/>
      <c r="S92" s="247"/>
    </row>
    <row r="93" spans="2:19" x14ac:dyDescent="0.25">
      <c r="B93" s="245"/>
      <c r="C93" s="245"/>
      <c r="D93" s="245"/>
      <c r="E93" s="245"/>
      <c r="F93" s="245"/>
      <c r="G93" s="245"/>
      <c r="H93" s="245"/>
      <c r="I93" s="245"/>
      <c r="J93" s="245"/>
      <c r="K93" s="245"/>
      <c r="L93" s="245"/>
      <c r="M93" s="247"/>
      <c r="N93" s="249"/>
      <c r="O93" s="245"/>
      <c r="P93" s="247"/>
      <c r="Q93" s="247"/>
      <c r="R93" s="247"/>
      <c r="S93" s="247"/>
    </row>
    <row r="94" spans="2:19" x14ac:dyDescent="0.25">
      <c r="B94" s="245"/>
      <c r="C94" s="245"/>
      <c r="D94" s="245"/>
      <c r="E94" s="245"/>
      <c r="F94" s="245"/>
      <c r="G94" s="245"/>
      <c r="H94" s="245"/>
      <c r="I94" s="245"/>
      <c r="J94" s="245"/>
      <c r="K94" s="245"/>
      <c r="L94" s="245"/>
      <c r="M94" s="247"/>
      <c r="N94" s="249"/>
      <c r="O94" s="245"/>
      <c r="P94" s="247"/>
      <c r="Q94" s="247"/>
      <c r="R94" s="247"/>
      <c r="S94" s="247"/>
    </row>
    <row r="95" spans="2:19" x14ac:dyDescent="0.25">
      <c r="B95" s="245"/>
      <c r="C95" s="245"/>
      <c r="D95" s="245"/>
      <c r="E95" s="245"/>
      <c r="F95" s="245"/>
      <c r="G95" s="245"/>
      <c r="H95" s="245"/>
      <c r="I95" s="245"/>
      <c r="J95" s="245"/>
      <c r="K95" s="245"/>
      <c r="L95" s="245"/>
      <c r="M95" s="247"/>
      <c r="N95" s="179"/>
      <c r="O95" s="180"/>
      <c r="P95" s="247"/>
      <c r="Q95" s="247"/>
      <c r="R95" s="247"/>
      <c r="S95" s="247"/>
    </row>
    <row r="96" spans="2:19" x14ac:dyDescent="0.25">
      <c r="B96" s="245"/>
      <c r="C96" s="245"/>
      <c r="D96" s="245"/>
      <c r="E96" s="245"/>
      <c r="F96" s="245"/>
      <c r="G96" s="245"/>
      <c r="H96" s="245"/>
      <c r="I96" s="245"/>
      <c r="J96" s="245"/>
      <c r="K96" s="245"/>
      <c r="L96" s="245"/>
      <c r="M96" s="247"/>
      <c r="N96" s="249"/>
      <c r="O96" s="245"/>
      <c r="P96" s="247"/>
      <c r="Q96" s="247"/>
      <c r="R96" s="247"/>
      <c r="S96" s="247"/>
    </row>
    <row r="97" spans="2:19" x14ac:dyDescent="0.25">
      <c r="B97" s="245"/>
      <c r="C97" s="245"/>
      <c r="D97" s="245"/>
      <c r="E97" s="245"/>
      <c r="F97" s="245"/>
      <c r="G97" s="245"/>
      <c r="H97" s="245"/>
      <c r="I97" s="245"/>
      <c r="J97" s="245"/>
      <c r="K97" s="245"/>
      <c r="L97" s="149"/>
      <c r="M97" s="247"/>
      <c r="N97" s="179"/>
      <c r="O97" s="180"/>
      <c r="P97" s="247"/>
      <c r="Q97" s="247"/>
      <c r="R97" s="247"/>
      <c r="S97" s="247"/>
    </row>
    <row r="98" spans="2:19" x14ac:dyDescent="0.25">
      <c r="B98" s="247"/>
      <c r="C98" s="247"/>
      <c r="D98" s="247"/>
      <c r="E98" s="247"/>
      <c r="F98" s="247"/>
      <c r="G98" s="247"/>
      <c r="H98" s="247"/>
      <c r="I98" s="247"/>
      <c r="J98" s="247"/>
      <c r="K98" s="247"/>
      <c r="L98" s="247"/>
      <c r="M98" s="247"/>
      <c r="N98" s="333"/>
      <c r="O98" s="180"/>
      <c r="P98" s="247"/>
      <c r="Q98" s="247"/>
      <c r="R98" s="247"/>
      <c r="S98" s="247"/>
    </row>
    <row r="99" spans="2:19" x14ac:dyDescent="0.25">
      <c r="B99" s="339"/>
      <c r="C99" s="247"/>
      <c r="D99" s="247"/>
      <c r="E99" s="247"/>
      <c r="F99" s="247"/>
      <c r="G99" s="247"/>
      <c r="H99" s="247"/>
      <c r="I99" s="247"/>
      <c r="J99" s="247"/>
      <c r="K99" s="247"/>
      <c r="L99" s="247"/>
      <c r="M99" s="247"/>
      <c r="N99" s="459"/>
      <c r="O99" s="459"/>
      <c r="P99" s="247"/>
      <c r="Q99" s="247"/>
      <c r="R99" s="247"/>
      <c r="S99" s="247"/>
    </row>
    <row r="100" spans="2:19" x14ac:dyDescent="0.25">
      <c r="B100" s="340"/>
      <c r="C100" s="245"/>
      <c r="D100" s="247"/>
      <c r="E100" s="245"/>
      <c r="F100" s="245"/>
      <c r="G100" s="247"/>
      <c r="H100" s="341"/>
      <c r="I100" s="247"/>
      <c r="J100" s="247"/>
      <c r="K100" s="245"/>
      <c r="L100" s="245"/>
      <c r="M100" s="247"/>
      <c r="N100" s="337"/>
      <c r="O100" s="180"/>
      <c r="P100" s="247"/>
      <c r="Q100" s="247"/>
      <c r="R100" s="247"/>
      <c r="S100" s="247"/>
    </row>
    <row r="101" spans="2:19" x14ac:dyDescent="0.25">
      <c r="B101" s="337"/>
      <c r="C101" s="180"/>
      <c r="D101" s="180"/>
      <c r="E101" s="180"/>
      <c r="F101" s="180"/>
      <c r="G101" s="247"/>
      <c r="H101" s="459"/>
      <c r="I101" s="459"/>
      <c r="J101" s="247"/>
      <c r="K101" s="245"/>
      <c r="L101" s="245"/>
      <c r="M101" s="247"/>
      <c r="N101" s="249"/>
      <c r="O101" s="245"/>
      <c r="P101" s="247"/>
      <c r="Q101" s="247"/>
      <c r="R101" s="247"/>
      <c r="S101" s="247"/>
    </row>
    <row r="102" spans="2:19" x14ac:dyDescent="0.25">
      <c r="B102" s="249"/>
      <c r="C102" s="245"/>
      <c r="D102" s="245"/>
      <c r="E102" s="245"/>
      <c r="F102" s="245"/>
      <c r="G102" s="247"/>
      <c r="H102" s="337"/>
      <c r="I102" s="180"/>
      <c r="J102" s="180"/>
      <c r="K102" s="180"/>
      <c r="L102" s="180"/>
      <c r="M102" s="247"/>
      <c r="N102" s="249"/>
      <c r="O102" s="245"/>
      <c r="P102" s="247"/>
      <c r="Q102" s="247"/>
      <c r="R102" s="247"/>
      <c r="S102" s="247"/>
    </row>
    <row r="103" spans="2:19" x14ac:dyDescent="0.25">
      <c r="B103" s="249"/>
      <c r="C103" s="245"/>
      <c r="D103" s="245"/>
      <c r="E103" s="245"/>
      <c r="F103" s="245"/>
      <c r="G103" s="247"/>
      <c r="H103" s="249"/>
      <c r="I103" s="247"/>
      <c r="J103" s="245"/>
      <c r="K103" s="245"/>
      <c r="L103" s="245"/>
      <c r="M103" s="247"/>
      <c r="N103" s="249"/>
      <c r="O103" s="245"/>
      <c r="P103" s="247"/>
      <c r="Q103" s="247"/>
      <c r="R103" s="247"/>
      <c r="S103" s="247"/>
    </row>
    <row r="104" spans="2:19" x14ac:dyDescent="0.25">
      <c r="B104" s="249"/>
      <c r="C104" s="245"/>
      <c r="D104" s="245"/>
      <c r="E104" s="245"/>
      <c r="F104" s="245"/>
      <c r="G104" s="247"/>
      <c r="H104" s="249"/>
      <c r="I104" s="247"/>
      <c r="J104" s="245"/>
      <c r="K104" s="245"/>
      <c r="L104" s="245"/>
      <c r="M104" s="247"/>
      <c r="N104" s="249"/>
      <c r="O104" s="245"/>
      <c r="P104" s="247"/>
      <c r="Q104" s="247"/>
      <c r="R104" s="247"/>
      <c r="S104" s="247"/>
    </row>
    <row r="105" spans="2:19" x14ac:dyDescent="0.25">
      <c r="B105" s="249"/>
      <c r="C105" s="245"/>
      <c r="D105" s="245"/>
      <c r="E105" s="245"/>
      <c r="F105" s="245"/>
      <c r="G105" s="247"/>
      <c r="H105" s="249"/>
      <c r="I105" s="247"/>
      <c r="J105" s="245"/>
      <c r="K105" s="245"/>
      <c r="L105" s="245"/>
      <c r="M105" s="247"/>
      <c r="N105" s="249"/>
      <c r="O105" s="245"/>
      <c r="P105" s="247"/>
      <c r="Q105" s="247"/>
      <c r="R105" s="247"/>
      <c r="S105" s="247"/>
    </row>
    <row r="106" spans="2:19" x14ac:dyDescent="0.25">
      <c r="B106" s="249"/>
      <c r="C106" s="245"/>
      <c r="D106" s="245"/>
      <c r="E106" s="245"/>
      <c r="F106" s="245"/>
      <c r="G106" s="247"/>
      <c r="H106" s="249"/>
      <c r="I106" s="247"/>
      <c r="J106" s="245"/>
      <c r="K106" s="245"/>
      <c r="L106" s="245"/>
      <c r="M106" s="247"/>
      <c r="N106" s="179"/>
      <c r="O106" s="180"/>
      <c r="P106" s="247"/>
      <c r="Q106" s="247"/>
      <c r="R106" s="247"/>
      <c r="S106" s="247"/>
    </row>
    <row r="107" spans="2:19" x14ac:dyDescent="0.25">
      <c r="B107" s="249"/>
      <c r="C107" s="245"/>
      <c r="D107" s="245"/>
      <c r="E107" s="245"/>
      <c r="F107" s="245"/>
      <c r="G107" s="247"/>
      <c r="H107" s="249"/>
      <c r="I107" s="247"/>
      <c r="J107" s="245"/>
      <c r="K107" s="245"/>
      <c r="L107" s="245"/>
      <c r="M107" s="247"/>
      <c r="N107" s="249"/>
      <c r="O107" s="245"/>
      <c r="P107" s="247"/>
      <c r="Q107" s="247"/>
      <c r="R107" s="247"/>
      <c r="S107" s="247"/>
    </row>
    <row r="108" spans="2:19" x14ac:dyDescent="0.25">
      <c r="B108" s="249"/>
      <c r="C108" s="245"/>
      <c r="D108" s="245"/>
      <c r="E108" s="245"/>
      <c r="F108" s="245"/>
      <c r="G108" s="247"/>
      <c r="H108" s="249"/>
      <c r="I108" s="247"/>
      <c r="J108" s="245"/>
      <c r="K108" s="245"/>
      <c r="L108" s="245"/>
      <c r="M108" s="247"/>
      <c r="N108" s="179"/>
      <c r="O108" s="180"/>
      <c r="P108" s="247"/>
      <c r="Q108" s="247"/>
      <c r="R108" s="247"/>
      <c r="S108" s="247"/>
    </row>
    <row r="109" spans="2:19" x14ac:dyDescent="0.25">
      <c r="B109" s="249"/>
      <c r="C109" s="245"/>
      <c r="D109" s="245"/>
      <c r="E109" s="245"/>
      <c r="F109" s="245"/>
      <c r="G109" s="247"/>
      <c r="H109" s="249"/>
      <c r="I109" s="247"/>
      <c r="J109" s="245"/>
      <c r="K109" s="245"/>
      <c r="L109" s="245"/>
      <c r="M109" s="247"/>
      <c r="N109" s="247"/>
      <c r="O109" s="247"/>
      <c r="P109" s="247"/>
      <c r="Q109" s="247"/>
      <c r="R109" s="247"/>
      <c r="S109" s="247"/>
    </row>
    <row r="110" spans="2:19" x14ac:dyDescent="0.25">
      <c r="B110" s="249"/>
      <c r="C110" s="245"/>
      <c r="D110" s="245"/>
      <c r="E110" s="245"/>
      <c r="F110" s="245"/>
      <c r="G110" s="247"/>
      <c r="H110" s="249"/>
      <c r="I110" s="247"/>
      <c r="J110" s="245"/>
      <c r="K110" s="245"/>
      <c r="L110" s="245"/>
      <c r="M110" s="247"/>
      <c r="N110" s="247"/>
      <c r="O110" s="247"/>
      <c r="P110" s="247"/>
      <c r="Q110" s="247"/>
      <c r="R110" s="247"/>
      <c r="S110" s="247"/>
    </row>
    <row r="111" spans="2:19" x14ac:dyDescent="0.25">
      <c r="B111" s="179"/>
      <c r="C111" s="180"/>
      <c r="D111" s="180"/>
      <c r="E111" s="180"/>
      <c r="F111" s="180"/>
      <c r="G111" s="247"/>
      <c r="H111" s="179"/>
      <c r="I111" s="180"/>
      <c r="J111" s="180"/>
      <c r="K111" s="180"/>
      <c r="L111" s="180"/>
      <c r="M111" s="247"/>
      <c r="N111" s="247"/>
      <c r="O111" s="247"/>
      <c r="P111" s="247"/>
      <c r="Q111" s="247"/>
      <c r="R111" s="247"/>
      <c r="S111" s="247"/>
    </row>
    <row r="112" spans="2:19" x14ac:dyDescent="0.25">
      <c r="B112" s="249"/>
      <c r="C112" s="245"/>
      <c r="D112" s="245"/>
      <c r="E112" s="245"/>
      <c r="F112" s="245"/>
      <c r="G112" s="247"/>
      <c r="H112" s="249"/>
      <c r="I112" s="245"/>
      <c r="J112" s="245"/>
      <c r="K112" s="245"/>
      <c r="L112" s="245"/>
      <c r="M112" s="247"/>
      <c r="N112" s="247"/>
      <c r="O112" s="247"/>
      <c r="P112" s="247"/>
      <c r="Q112" s="247"/>
      <c r="R112" s="247"/>
      <c r="S112" s="247"/>
    </row>
    <row r="113" spans="2:19" x14ac:dyDescent="0.25">
      <c r="B113" s="179"/>
      <c r="C113" s="180"/>
      <c r="D113" s="180"/>
      <c r="E113" s="180"/>
      <c r="F113" s="180"/>
      <c r="G113" s="247"/>
      <c r="H113" s="179"/>
      <c r="I113" s="180"/>
      <c r="J113" s="180"/>
      <c r="K113" s="180"/>
      <c r="L113" s="180"/>
      <c r="M113" s="247"/>
      <c r="N113" s="247"/>
      <c r="O113" s="247"/>
      <c r="P113" s="247"/>
      <c r="Q113" s="247"/>
      <c r="R113" s="247"/>
      <c r="S113" s="247"/>
    </row>
    <row r="114" spans="2:19" x14ac:dyDescent="0.25">
      <c r="B114" s="333"/>
      <c r="C114" s="180"/>
      <c r="D114" s="180"/>
      <c r="E114" s="180"/>
      <c r="F114" s="180"/>
      <c r="G114" s="247"/>
      <c r="H114" s="333"/>
      <c r="I114" s="180"/>
      <c r="J114" s="180"/>
      <c r="K114" s="180"/>
      <c r="L114" s="180"/>
      <c r="M114" s="247"/>
      <c r="N114" s="247"/>
      <c r="O114" s="247"/>
      <c r="P114" s="247"/>
      <c r="Q114" s="247"/>
      <c r="R114" s="247"/>
      <c r="S114" s="247"/>
    </row>
    <row r="115" spans="2:19" x14ac:dyDescent="0.25">
      <c r="B115" s="340"/>
      <c r="C115" s="342"/>
      <c r="D115" s="245"/>
      <c r="E115" s="247"/>
      <c r="F115" s="245"/>
      <c r="G115" s="247"/>
      <c r="H115" s="459"/>
      <c r="I115" s="459"/>
      <c r="J115" s="245"/>
      <c r="K115" s="247"/>
      <c r="L115" s="245"/>
      <c r="M115" s="247"/>
      <c r="N115" s="247"/>
      <c r="O115" s="247"/>
      <c r="P115" s="247"/>
      <c r="Q115" s="247"/>
      <c r="R115" s="247"/>
      <c r="S115" s="247"/>
    </row>
    <row r="116" spans="2:19" x14ac:dyDescent="0.25">
      <c r="B116" s="337"/>
      <c r="C116" s="180"/>
      <c r="D116" s="180"/>
      <c r="E116" s="180"/>
      <c r="F116" s="180"/>
      <c r="G116" s="247"/>
      <c r="H116" s="337"/>
      <c r="I116" s="180"/>
      <c r="J116" s="180"/>
      <c r="K116" s="180"/>
      <c r="L116" s="180"/>
      <c r="M116" s="247"/>
      <c r="N116" s="247"/>
      <c r="O116" s="247"/>
      <c r="P116" s="247"/>
      <c r="Q116" s="247"/>
      <c r="R116" s="247"/>
      <c r="S116" s="247"/>
    </row>
    <row r="117" spans="2:19" x14ac:dyDescent="0.25">
      <c r="B117" s="249"/>
      <c r="C117" s="245"/>
      <c r="D117" s="245"/>
      <c r="E117" s="245"/>
      <c r="F117" s="245"/>
      <c r="G117" s="247"/>
      <c r="H117" s="249"/>
      <c r="I117" s="247"/>
      <c r="J117" s="245"/>
      <c r="K117" s="245"/>
      <c r="L117" s="245"/>
      <c r="M117" s="247"/>
      <c r="N117" s="247"/>
      <c r="O117" s="247"/>
      <c r="P117" s="247"/>
      <c r="Q117" s="247"/>
      <c r="R117" s="247"/>
      <c r="S117" s="247"/>
    </row>
    <row r="118" spans="2:19" x14ac:dyDescent="0.25">
      <c r="B118" s="249"/>
      <c r="C118" s="245"/>
      <c r="D118" s="245"/>
      <c r="E118" s="245"/>
      <c r="F118" s="245"/>
      <c r="G118" s="247"/>
      <c r="H118" s="249"/>
      <c r="I118" s="247"/>
      <c r="J118" s="245"/>
      <c r="K118" s="245"/>
      <c r="L118" s="245"/>
      <c r="M118" s="247"/>
      <c r="N118" s="247"/>
      <c r="O118" s="247"/>
      <c r="P118" s="247"/>
      <c r="Q118" s="247"/>
      <c r="R118" s="247"/>
      <c r="S118" s="247"/>
    </row>
    <row r="119" spans="2:19" x14ac:dyDescent="0.25">
      <c r="B119" s="249"/>
      <c r="C119" s="245"/>
      <c r="D119" s="245"/>
      <c r="E119" s="245"/>
      <c r="F119" s="245"/>
      <c r="G119" s="247"/>
      <c r="H119" s="249"/>
      <c r="I119" s="247"/>
      <c r="J119" s="245"/>
      <c r="K119" s="245"/>
      <c r="L119" s="245"/>
      <c r="M119" s="247"/>
      <c r="N119" s="247"/>
      <c r="O119" s="247"/>
      <c r="P119" s="247"/>
      <c r="Q119" s="247"/>
      <c r="R119" s="247"/>
      <c r="S119" s="247"/>
    </row>
    <row r="120" spans="2:19" x14ac:dyDescent="0.25">
      <c r="B120" s="249"/>
      <c r="C120" s="245"/>
      <c r="D120" s="245"/>
      <c r="E120" s="245"/>
      <c r="F120" s="245"/>
      <c r="G120" s="247"/>
      <c r="H120" s="249"/>
      <c r="I120" s="247"/>
      <c r="J120" s="245"/>
      <c r="K120" s="245"/>
      <c r="L120" s="245"/>
      <c r="M120" s="247"/>
      <c r="N120" s="247"/>
      <c r="O120" s="247"/>
      <c r="P120" s="247"/>
      <c r="Q120" s="247"/>
      <c r="R120" s="247"/>
      <c r="S120" s="247"/>
    </row>
    <row r="121" spans="2:19" x14ac:dyDescent="0.25">
      <c r="B121" s="249"/>
      <c r="C121" s="245"/>
      <c r="D121" s="245"/>
      <c r="E121" s="245"/>
      <c r="F121" s="245"/>
      <c r="G121" s="247"/>
      <c r="H121" s="249"/>
      <c r="I121" s="247"/>
      <c r="J121" s="245"/>
      <c r="K121" s="245"/>
      <c r="L121" s="245"/>
      <c r="M121" s="247"/>
      <c r="N121" s="247"/>
      <c r="O121" s="247"/>
      <c r="P121" s="247"/>
      <c r="Q121" s="247"/>
      <c r="R121" s="247"/>
      <c r="S121" s="247"/>
    </row>
    <row r="122" spans="2:19" x14ac:dyDescent="0.25">
      <c r="B122" s="249"/>
      <c r="C122" s="245"/>
      <c r="D122" s="245"/>
      <c r="E122" s="245"/>
      <c r="F122" s="245"/>
      <c r="G122" s="247"/>
      <c r="H122" s="179"/>
      <c r="I122" s="180"/>
      <c r="J122" s="180"/>
      <c r="K122" s="180"/>
      <c r="L122" s="180"/>
      <c r="M122" s="247"/>
      <c r="N122" s="247"/>
      <c r="O122" s="247"/>
      <c r="P122" s="247"/>
      <c r="Q122" s="247"/>
      <c r="R122" s="247"/>
      <c r="S122" s="247"/>
    </row>
    <row r="123" spans="2:19" x14ac:dyDescent="0.25">
      <c r="B123" s="249"/>
      <c r="C123" s="245"/>
      <c r="D123" s="245"/>
      <c r="E123" s="245"/>
      <c r="F123" s="245"/>
      <c r="G123" s="247"/>
      <c r="H123" s="249"/>
      <c r="I123" s="245"/>
      <c r="J123" s="245"/>
      <c r="K123" s="245"/>
      <c r="L123" s="245"/>
      <c r="M123" s="247"/>
      <c r="N123" s="247"/>
      <c r="O123" s="247"/>
      <c r="P123" s="247"/>
      <c r="Q123" s="247"/>
      <c r="R123" s="247"/>
      <c r="S123" s="247"/>
    </row>
    <row r="124" spans="2:19" x14ac:dyDescent="0.25">
      <c r="B124" s="249"/>
      <c r="C124" s="245"/>
      <c r="D124" s="245"/>
      <c r="E124" s="245"/>
      <c r="F124" s="245"/>
      <c r="G124" s="247"/>
      <c r="H124" s="179"/>
      <c r="I124" s="180"/>
      <c r="J124" s="180"/>
      <c r="K124" s="180"/>
      <c r="L124" s="180"/>
      <c r="M124" s="247"/>
      <c r="N124" s="247"/>
      <c r="O124" s="247"/>
      <c r="P124" s="247"/>
      <c r="Q124" s="247"/>
      <c r="R124" s="247"/>
      <c r="S124" s="247"/>
    </row>
    <row r="125" spans="2:19" x14ac:dyDescent="0.25">
      <c r="B125" s="249"/>
      <c r="C125" s="245"/>
      <c r="D125" s="245"/>
      <c r="E125" s="245"/>
      <c r="F125" s="245"/>
      <c r="G125" s="247"/>
      <c r="H125" s="247"/>
      <c r="I125" s="247"/>
      <c r="J125" s="247"/>
      <c r="K125" s="247"/>
      <c r="L125" s="247"/>
      <c r="M125" s="247"/>
      <c r="N125" s="247"/>
      <c r="O125" s="247"/>
      <c r="P125" s="247"/>
      <c r="Q125" s="247"/>
      <c r="R125" s="247"/>
      <c r="S125" s="247"/>
    </row>
    <row r="126" spans="2:19" x14ac:dyDescent="0.25">
      <c r="B126" s="179"/>
      <c r="C126" s="180"/>
      <c r="D126" s="180"/>
      <c r="E126" s="180"/>
      <c r="F126" s="180"/>
      <c r="G126" s="247"/>
      <c r="H126" s="247"/>
      <c r="I126" s="247"/>
      <c r="J126" s="247"/>
      <c r="K126" s="247"/>
      <c r="L126" s="247"/>
      <c r="M126" s="247"/>
      <c r="N126" s="247"/>
      <c r="O126" s="247"/>
      <c r="P126" s="247"/>
      <c r="Q126" s="247"/>
      <c r="R126" s="247"/>
      <c r="S126" s="247"/>
    </row>
    <row r="127" spans="2:19" x14ac:dyDescent="0.25">
      <c r="B127" s="249"/>
      <c r="C127" s="245"/>
      <c r="D127" s="245"/>
      <c r="E127" s="245"/>
      <c r="F127" s="245"/>
      <c r="G127" s="247"/>
      <c r="H127" s="247"/>
      <c r="I127" s="247"/>
      <c r="J127" s="247"/>
      <c r="K127" s="247"/>
      <c r="L127" s="247"/>
      <c r="M127" s="247"/>
      <c r="N127" s="247"/>
      <c r="O127" s="247"/>
      <c r="P127" s="247"/>
      <c r="Q127" s="247"/>
      <c r="R127" s="247"/>
      <c r="S127" s="247"/>
    </row>
    <row r="128" spans="2:19" x14ac:dyDescent="0.25">
      <c r="B128" s="179"/>
      <c r="C128" s="180"/>
      <c r="D128" s="180"/>
      <c r="E128" s="180"/>
      <c r="F128" s="180"/>
      <c r="G128" s="247"/>
      <c r="H128" s="247"/>
      <c r="I128" s="247"/>
      <c r="J128" s="247"/>
      <c r="K128" s="247"/>
      <c r="L128" s="247"/>
      <c r="M128" s="247"/>
      <c r="N128" s="247"/>
      <c r="O128" s="247"/>
      <c r="P128" s="247"/>
      <c r="Q128" s="247"/>
      <c r="R128" s="247"/>
      <c r="S128" s="247"/>
    </row>
    <row r="129" spans="2:19" x14ac:dyDescent="0.25">
      <c r="B129" s="247"/>
      <c r="C129" s="247"/>
      <c r="D129" s="247"/>
      <c r="E129" s="247"/>
      <c r="F129" s="247"/>
      <c r="G129" s="247"/>
      <c r="H129" s="247"/>
      <c r="I129" s="247"/>
      <c r="J129" s="247"/>
      <c r="K129" s="247"/>
      <c r="L129" s="247"/>
      <c r="M129" s="247"/>
      <c r="N129" s="247"/>
      <c r="O129" s="247"/>
      <c r="P129" s="247"/>
      <c r="Q129" s="247"/>
      <c r="R129" s="247"/>
      <c r="S129" s="247"/>
    </row>
    <row r="130" spans="2:19" x14ac:dyDescent="0.25">
      <c r="M130" s="247"/>
      <c r="N130" s="247"/>
      <c r="O130" s="247"/>
      <c r="P130" s="247"/>
      <c r="Q130" s="247"/>
      <c r="R130" s="247"/>
      <c r="S130" s="247"/>
    </row>
    <row r="131" spans="2:19" x14ac:dyDescent="0.25">
      <c r="M131" s="247"/>
      <c r="N131" s="247"/>
      <c r="O131" s="247"/>
      <c r="P131" s="247"/>
      <c r="Q131" s="247"/>
      <c r="R131" s="247"/>
      <c r="S131" s="247"/>
    </row>
    <row r="132" spans="2:19" x14ac:dyDescent="0.25">
      <c r="M132" s="247"/>
      <c r="N132" s="247"/>
      <c r="O132" s="247"/>
      <c r="P132" s="247"/>
      <c r="Q132" s="247"/>
      <c r="R132" s="247"/>
      <c r="S132" s="247"/>
    </row>
    <row r="133" spans="2:19" x14ac:dyDescent="0.25">
      <c r="N133" s="247"/>
      <c r="O133" s="247"/>
      <c r="P133" s="247"/>
      <c r="Q133" s="247"/>
      <c r="R133" s="247"/>
      <c r="S133" s="247"/>
    </row>
  </sheetData>
  <mergeCells count="4">
    <mergeCell ref="H115:I115"/>
    <mergeCell ref="H101:I101"/>
    <mergeCell ref="N85:O85"/>
    <mergeCell ref="N99:O99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/>
  <dimension ref="B2:Y60"/>
  <sheetViews>
    <sheetView zoomScale="70" zoomScaleNormal="70" workbookViewId="0"/>
  </sheetViews>
  <sheetFormatPr defaultColWidth="9.140625" defaultRowHeight="15" x14ac:dyDescent="0.25"/>
  <cols>
    <col min="1" max="1" width="2.28515625" style="32" customWidth="1"/>
    <col min="2" max="2" width="21.7109375" style="32" bestFit="1" customWidth="1"/>
    <col min="3" max="3" width="19.5703125" style="32" customWidth="1"/>
    <col min="4" max="4" width="9" style="32" customWidth="1"/>
    <col min="5" max="5" width="3" style="32" customWidth="1"/>
    <col min="6" max="6" width="16.140625" style="32" bestFit="1" customWidth="1"/>
    <col min="7" max="7" width="21.85546875" style="32" bestFit="1" customWidth="1"/>
    <col min="8" max="8" width="9.28515625" style="32" bestFit="1" customWidth="1"/>
    <col min="9" max="9" width="2.28515625" style="32" customWidth="1"/>
    <col min="10" max="10" width="16.140625" style="32" bestFit="1" customWidth="1"/>
    <col min="11" max="11" width="21.85546875" style="32" bestFit="1" customWidth="1"/>
    <col min="12" max="12" width="8.85546875" style="32" bestFit="1" customWidth="1"/>
    <col min="13" max="13" width="1.7109375" style="32" customWidth="1"/>
    <col min="14" max="14" width="16.5703125" style="32" bestFit="1" customWidth="1"/>
    <col min="15" max="15" width="20.5703125" style="32" bestFit="1" customWidth="1"/>
    <col min="16" max="16" width="9.28515625" style="32" bestFit="1" customWidth="1"/>
    <col min="17" max="17" width="2.28515625" style="32" customWidth="1"/>
    <col min="18" max="18" width="16.140625" style="32" bestFit="1" customWidth="1"/>
    <col min="19" max="19" width="20.5703125" style="32" bestFit="1" customWidth="1"/>
    <col min="20" max="20" width="7.5703125" style="32" bestFit="1" customWidth="1"/>
    <col min="21" max="16384" width="9.140625" style="32"/>
  </cols>
  <sheetData>
    <row r="2" spans="2:25" x14ac:dyDescent="0.25">
      <c r="B2" s="186" t="s">
        <v>2</v>
      </c>
      <c r="C2" s="44" t="s">
        <v>233</v>
      </c>
      <c r="D2" s="58"/>
      <c r="E2" s="58"/>
      <c r="F2" s="58"/>
      <c r="G2" s="170"/>
      <c r="H2" s="170"/>
      <c r="I2" s="170"/>
      <c r="J2" s="170"/>
      <c r="K2" s="170"/>
      <c r="L2" s="170"/>
      <c r="M2" s="170"/>
      <c r="N2" s="170"/>
      <c r="O2" s="170"/>
      <c r="P2" s="170"/>
      <c r="Q2" s="170"/>
      <c r="R2" s="170"/>
      <c r="S2" s="170"/>
      <c r="T2" s="170"/>
      <c r="U2" s="170"/>
      <c r="V2" s="171"/>
      <c r="W2" s="171"/>
      <c r="X2" s="171"/>
    </row>
    <row r="3" spans="2:25" x14ac:dyDescent="0.25">
      <c r="B3" s="189" t="s">
        <v>40</v>
      </c>
      <c r="C3" s="243"/>
      <c r="F3" s="189" t="s">
        <v>41</v>
      </c>
      <c r="G3" s="243"/>
      <c r="J3" s="189" t="s">
        <v>42</v>
      </c>
      <c r="K3" s="243"/>
      <c r="N3" s="189" t="s">
        <v>43</v>
      </c>
      <c r="O3" s="243"/>
      <c r="R3" s="189" t="s">
        <v>44</v>
      </c>
      <c r="S3" s="243"/>
      <c r="U3" s="170"/>
      <c r="V3" s="171"/>
      <c r="W3" s="171"/>
      <c r="X3" s="171"/>
    </row>
    <row r="4" spans="2:25" x14ac:dyDescent="0.25">
      <c r="B4" s="4" t="s">
        <v>4</v>
      </c>
      <c r="C4" s="5" t="s">
        <v>230</v>
      </c>
      <c r="D4" s="40" t="s">
        <v>35</v>
      </c>
      <c r="E4" s="272"/>
      <c r="F4" s="4" t="s">
        <v>4</v>
      </c>
      <c r="G4" s="5" t="s">
        <v>230</v>
      </c>
      <c r="H4" s="40" t="s">
        <v>35</v>
      </c>
      <c r="I4" s="272"/>
      <c r="J4" s="4" t="s">
        <v>4</v>
      </c>
      <c r="K4" s="5" t="s">
        <v>230</v>
      </c>
      <c r="L4" s="40" t="s">
        <v>35</v>
      </c>
      <c r="M4" s="272"/>
      <c r="N4" s="7" t="s">
        <v>4</v>
      </c>
      <c r="O4" s="5" t="s">
        <v>230</v>
      </c>
      <c r="P4" s="425" t="s">
        <v>35</v>
      </c>
      <c r="Q4" s="272"/>
      <c r="R4" s="7" t="s">
        <v>4</v>
      </c>
      <c r="S4" s="5" t="s">
        <v>230</v>
      </c>
      <c r="T4" s="425" t="s">
        <v>35</v>
      </c>
      <c r="U4" s="170"/>
      <c r="V4" s="374"/>
      <c r="W4" s="171"/>
      <c r="X4" s="171"/>
    </row>
    <row r="5" spans="2:25" x14ac:dyDescent="0.25">
      <c r="B5" s="426"/>
      <c r="C5" s="13" t="s">
        <v>5</v>
      </c>
      <c r="D5" s="38">
        <v>95.27</v>
      </c>
      <c r="E5" s="272"/>
      <c r="F5" s="426"/>
      <c r="G5" s="13" t="s">
        <v>5</v>
      </c>
      <c r="H5" s="38">
        <v>31.23</v>
      </c>
      <c r="I5" s="272"/>
      <c r="J5" s="426"/>
      <c r="K5" s="13" t="s">
        <v>5</v>
      </c>
      <c r="L5" s="38">
        <v>57.34</v>
      </c>
      <c r="M5" s="272"/>
      <c r="N5" s="426"/>
      <c r="O5" s="13" t="s">
        <v>5</v>
      </c>
      <c r="P5" s="38">
        <v>20.47</v>
      </c>
      <c r="Q5" s="272"/>
      <c r="R5" s="426"/>
      <c r="S5" s="13" t="s">
        <v>5</v>
      </c>
      <c r="T5" s="38">
        <v>9.7799999999999994</v>
      </c>
      <c r="U5" s="170"/>
      <c r="V5" s="374"/>
      <c r="W5" s="171"/>
      <c r="X5" s="171"/>
    </row>
    <row r="6" spans="2:25" x14ac:dyDescent="0.25">
      <c r="B6" s="427"/>
      <c r="C6" s="15" t="s">
        <v>6</v>
      </c>
      <c r="D6" s="35">
        <v>22.97</v>
      </c>
      <c r="E6" s="428"/>
      <c r="F6" s="427"/>
      <c r="G6" s="15" t="s">
        <v>6</v>
      </c>
      <c r="H6" s="35">
        <v>10.08</v>
      </c>
      <c r="I6" s="428"/>
      <c r="J6" s="427"/>
      <c r="K6" s="15" t="s">
        <v>6</v>
      </c>
      <c r="L6" s="35">
        <v>14.64</v>
      </c>
      <c r="M6" s="428"/>
      <c r="N6" s="427"/>
      <c r="O6" s="15" t="s">
        <v>6</v>
      </c>
      <c r="P6" s="35">
        <v>16.22</v>
      </c>
      <c r="Q6" s="428"/>
      <c r="R6" s="427"/>
      <c r="S6" s="15" t="s">
        <v>6</v>
      </c>
      <c r="T6" s="35">
        <v>7.27</v>
      </c>
      <c r="U6" s="170"/>
      <c r="V6" s="374"/>
      <c r="W6" s="171"/>
      <c r="X6" s="171"/>
    </row>
    <row r="7" spans="2:25" x14ac:dyDescent="0.25">
      <c r="B7" s="427"/>
      <c r="C7" s="15" t="s">
        <v>7</v>
      </c>
      <c r="D7" s="35">
        <v>97.13</v>
      </c>
      <c r="E7" s="428"/>
      <c r="F7" s="427"/>
      <c r="G7" s="15" t="s">
        <v>7</v>
      </c>
      <c r="H7" s="35">
        <v>32.090000000000003</v>
      </c>
      <c r="I7" s="428"/>
      <c r="J7" s="427"/>
      <c r="K7" s="15" t="s">
        <v>7</v>
      </c>
      <c r="L7" s="35">
        <v>25.11</v>
      </c>
      <c r="M7" s="428"/>
      <c r="N7" s="427"/>
      <c r="O7" s="15" t="s">
        <v>7</v>
      </c>
      <c r="P7" s="35">
        <v>24.63</v>
      </c>
      <c r="Q7" s="428"/>
      <c r="R7" s="427"/>
      <c r="S7" s="15" t="s">
        <v>7</v>
      </c>
      <c r="T7" s="35">
        <v>8.5399999999999991</v>
      </c>
      <c r="U7" s="170"/>
      <c r="V7" s="374"/>
      <c r="W7" s="171"/>
      <c r="X7" s="171"/>
    </row>
    <row r="8" spans="2:25" x14ac:dyDescent="0.25">
      <c r="B8" s="427"/>
      <c r="C8" s="15" t="s">
        <v>8</v>
      </c>
      <c r="D8" s="35">
        <v>31.73</v>
      </c>
      <c r="E8" s="428"/>
      <c r="F8" s="427"/>
      <c r="G8" s="15" t="s">
        <v>8</v>
      </c>
      <c r="H8" s="35">
        <v>9.94</v>
      </c>
      <c r="I8" s="428"/>
      <c r="J8" s="427"/>
      <c r="K8" s="15" t="s">
        <v>8</v>
      </c>
      <c r="L8" s="35">
        <v>14.64</v>
      </c>
      <c r="M8" s="428"/>
      <c r="N8" s="427"/>
      <c r="O8" s="15" t="s">
        <v>8</v>
      </c>
      <c r="P8" s="35">
        <v>26.68</v>
      </c>
      <c r="Q8" s="428"/>
      <c r="R8" s="427"/>
      <c r="S8" s="15" t="s">
        <v>8</v>
      </c>
      <c r="T8" s="35">
        <v>14.43</v>
      </c>
      <c r="U8" s="170"/>
      <c r="V8" s="374"/>
      <c r="W8" s="171"/>
      <c r="X8" s="171"/>
    </row>
    <row r="9" spans="2:25" x14ac:dyDescent="0.25">
      <c r="B9" s="427"/>
      <c r="C9" s="429"/>
      <c r="D9" s="37"/>
      <c r="E9" s="428"/>
      <c r="F9" s="427"/>
      <c r="G9" s="429"/>
      <c r="H9" s="37"/>
      <c r="I9" s="428"/>
      <c r="J9" s="427"/>
      <c r="K9" s="15"/>
      <c r="L9" s="37"/>
      <c r="M9" s="428"/>
      <c r="N9" s="427"/>
      <c r="O9" s="429"/>
      <c r="P9" s="37"/>
      <c r="Q9" s="428"/>
      <c r="R9" s="427"/>
      <c r="S9" s="429"/>
      <c r="T9" s="37"/>
      <c r="U9" s="170"/>
      <c r="V9" s="374"/>
      <c r="W9" s="171"/>
      <c r="X9" s="171"/>
    </row>
    <row r="10" spans="2:25" x14ac:dyDescent="0.25">
      <c r="B10" s="427"/>
      <c r="C10" s="16" t="s">
        <v>56</v>
      </c>
      <c r="D10" s="24">
        <f>AVERAGE(D5:D8)</f>
        <v>61.774999999999999</v>
      </c>
      <c r="E10" s="430"/>
      <c r="F10" s="431"/>
      <c r="G10" s="16" t="s">
        <v>56</v>
      </c>
      <c r="H10" s="24">
        <f>AVERAGE(H5:H8)</f>
        <v>20.835000000000001</v>
      </c>
      <c r="I10" s="430"/>
      <c r="J10" s="431"/>
      <c r="K10" s="16" t="s">
        <v>56</v>
      </c>
      <c r="L10" s="24">
        <f>AVERAGE(L5:L8)</f>
        <v>27.932500000000001</v>
      </c>
      <c r="M10" s="430"/>
      <c r="N10" s="431"/>
      <c r="O10" s="16" t="s">
        <v>56</v>
      </c>
      <c r="P10" s="24">
        <f>AVERAGE(P5:P8)</f>
        <v>22</v>
      </c>
      <c r="Q10" s="430"/>
      <c r="R10" s="431"/>
      <c r="S10" s="16" t="s">
        <v>56</v>
      </c>
      <c r="T10" s="24">
        <f>AVERAGE(T5:T8)</f>
        <v>10.004999999999999</v>
      </c>
      <c r="U10" s="170"/>
      <c r="V10" s="374"/>
      <c r="W10" s="171"/>
      <c r="X10" s="171"/>
    </row>
    <row r="11" spans="2:25" x14ac:dyDescent="0.25">
      <c r="B11" s="427"/>
      <c r="C11" s="55" t="s">
        <v>22</v>
      </c>
      <c r="D11" s="24">
        <f>_xlfn.STDEV.S(D5:D8)</f>
        <v>39.918337891249934</v>
      </c>
      <c r="E11" s="430"/>
      <c r="F11" s="431"/>
      <c r="G11" s="55" t="s">
        <v>22</v>
      </c>
      <c r="H11" s="24">
        <f>_xlfn.STDEV.S(H5:H8)</f>
        <v>12.504693785401814</v>
      </c>
      <c r="I11" s="430"/>
      <c r="J11" s="431"/>
      <c r="K11" s="55" t="s">
        <v>22</v>
      </c>
      <c r="L11" s="24">
        <f>_xlfn.STDEV.S(L5:L8)</f>
        <v>20.216731313444317</v>
      </c>
      <c r="M11" s="430"/>
      <c r="N11" s="431"/>
      <c r="O11" s="55" t="s">
        <v>22</v>
      </c>
      <c r="P11" s="24">
        <f>_xlfn.STDEV.S(P5:P8)</f>
        <v>4.6392743685480182</v>
      </c>
      <c r="Q11" s="430"/>
      <c r="R11" s="431"/>
      <c r="S11" s="55" t="s">
        <v>22</v>
      </c>
      <c r="T11" s="24">
        <f>_xlfn.STDEV.S(T5:T8)</f>
        <v>3.1229099677491003</v>
      </c>
      <c r="U11" s="170"/>
      <c r="V11" s="374"/>
      <c r="W11" s="171"/>
      <c r="X11" s="171"/>
    </row>
    <row r="12" spans="2:25" x14ac:dyDescent="0.25">
      <c r="B12" s="4" t="s">
        <v>25</v>
      </c>
      <c r="C12" s="5" t="s">
        <v>230</v>
      </c>
      <c r="D12" s="40" t="s">
        <v>35</v>
      </c>
      <c r="E12" s="428"/>
      <c r="F12" s="7" t="s">
        <v>25</v>
      </c>
      <c r="G12" s="8" t="s">
        <v>230</v>
      </c>
      <c r="H12" s="425" t="s">
        <v>35</v>
      </c>
      <c r="I12" s="428"/>
      <c r="J12" s="4" t="s">
        <v>25</v>
      </c>
      <c r="K12" s="5" t="s">
        <v>230</v>
      </c>
      <c r="L12" s="40" t="s">
        <v>35</v>
      </c>
      <c r="M12" s="428"/>
      <c r="N12" s="4" t="s">
        <v>25</v>
      </c>
      <c r="O12" s="5" t="s">
        <v>230</v>
      </c>
      <c r="P12" s="40" t="s">
        <v>35</v>
      </c>
      <c r="Q12" s="428"/>
      <c r="R12" s="4" t="s">
        <v>25</v>
      </c>
      <c r="S12" s="5" t="s">
        <v>230</v>
      </c>
      <c r="T12" s="40" t="s">
        <v>35</v>
      </c>
      <c r="U12" s="170"/>
      <c r="V12" s="374"/>
      <c r="W12" s="171"/>
      <c r="X12" s="171"/>
    </row>
    <row r="13" spans="2:25" x14ac:dyDescent="0.25">
      <c r="B13" s="426"/>
      <c r="C13" s="13" t="s">
        <v>5</v>
      </c>
      <c r="D13" s="38">
        <v>198.24</v>
      </c>
      <c r="E13" s="428"/>
      <c r="F13" s="426"/>
      <c r="G13" s="13" t="s">
        <v>5</v>
      </c>
      <c r="H13" s="38">
        <v>167.41</v>
      </c>
      <c r="I13" s="428"/>
      <c r="J13" s="427"/>
      <c r="K13" s="13" t="s">
        <v>5</v>
      </c>
      <c r="L13" s="35">
        <v>149.18</v>
      </c>
      <c r="M13" s="428"/>
      <c r="N13" s="426"/>
      <c r="O13" s="13" t="s">
        <v>5</v>
      </c>
      <c r="P13" s="38">
        <v>109.16</v>
      </c>
      <c r="Q13" s="428"/>
      <c r="R13" s="426"/>
      <c r="S13" s="13" t="s">
        <v>5</v>
      </c>
      <c r="T13" s="38">
        <v>14.43</v>
      </c>
      <c r="U13" s="170"/>
      <c r="V13" s="374"/>
      <c r="W13" s="171"/>
      <c r="X13" s="171"/>
    </row>
    <row r="14" spans="2:25" x14ac:dyDescent="0.25">
      <c r="B14" s="427"/>
      <c r="C14" s="15" t="s">
        <v>6</v>
      </c>
      <c r="D14" s="35">
        <v>102.37</v>
      </c>
      <c r="E14" s="428"/>
      <c r="F14" s="427"/>
      <c r="G14" s="15" t="s">
        <v>6</v>
      </c>
      <c r="H14" s="35">
        <v>86.13</v>
      </c>
      <c r="I14" s="428"/>
      <c r="J14" s="427"/>
      <c r="K14" s="15" t="s">
        <v>6</v>
      </c>
      <c r="L14" s="35">
        <v>92.69</v>
      </c>
      <c r="M14" s="428"/>
      <c r="N14" s="427"/>
      <c r="O14" s="15" t="s">
        <v>6</v>
      </c>
      <c r="P14" s="35">
        <v>74.72</v>
      </c>
      <c r="Q14" s="428"/>
      <c r="R14" s="427"/>
      <c r="S14" s="15" t="s">
        <v>6</v>
      </c>
      <c r="T14" s="35">
        <v>18.72</v>
      </c>
      <c r="U14" s="170"/>
      <c r="V14" s="374"/>
      <c r="W14" s="171"/>
      <c r="X14" s="171"/>
      <c r="Y14" s="183"/>
    </row>
    <row r="15" spans="2:25" x14ac:dyDescent="0.25">
      <c r="B15" s="427"/>
      <c r="C15" s="15" t="s">
        <v>7</v>
      </c>
      <c r="D15" s="35">
        <v>295.20999999999998</v>
      </c>
      <c r="E15" s="428"/>
      <c r="F15" s="427"/>
      <c r="G15" s="15" t="s">
        <v>7</v>
      </c>
      <c r="H15" s="35">
        <v>405.48</v>
      </c>
      <c r="I15" s="428"/>
      <c r="J15" s="427"/>
      <c r="K15" s="15" t="s">
        <v>7</v>
      </c>
      <c r="L15" s="35">
        <v>334.45</v>
      </c>
      <c r="M15" s="428"/>
      <c r="N15" s="427"/>
      <c r="O15" s="15" t="s">
        <v>7</v>
      </c>
      <c r="P15" s="35">
        <v>309.97000000000003</v>
      </c>
      <c r="Q15" s="428"/>
      <c r="R15" s="427"/>
      <c r="S15" s="15" t="s">
        <v>7</v>
      </c>
      <c r="T15" s="35">
        <v>18.72</v>
      </c>
      <c r="U15" s="170"/>
      <c r="V15" s="374"/>
      <c r="W15" s="171"/>
      <c r="X15" s="171"/>
      <c r="Y15" s="183"/>
    </row>
    <row r="16" spans="2:25" x14ac:dyDescent="0.25">
      <c r="B16" s="427"/>
      <c r="C16" s="15" t="s">
        <v>8</v>
      </c>
      <c r="D16" s="163">
        <v>175.21</v>
      </c>
      <c r="E16" s="430"/>
      <c r="F16" s="431"/>
      <c r="G16" s="15" t="s">
        <v>8</v>
      </c>
      <c r="H16" s="163">
        <v>218.24</v>
      </c>
      <c r="I16" s="430"/>
      <c r="J16" s="431"/>
      <c r="K16" s="15" t="s">
        <v>8</v>
      </c>
      <c r="L16" s="163">
        <v>219.05</v>
      </c>
      <c r="M16" s="430"/>
      <c r="N16" s="431"/>
      <c r="O16" s="15" t="s">
        <v>8</v>
      </c>
      <c r="P16" s="163">
        <v>203.89</v>
      </c>
      <c r="Q16" s="430"/>
      <c r="R16" s="431"/>
      <c r="S16" s="15" t="s">
        <v>8</v>
      </c>
      <c r="T16" s="163">
        <v>14.43</v>
      </c>
      <c r="U16" s="170"/>
      <c r="V16" s="374"/>
      <c r="W16" s="171"/>
      <c r="X16" s="171"/>
      <c r="Y16" s="48"/>
    </row>
    <row r="17" spans="2:25" x14ac:dyDescent="0.25">
      <c r="B17" s="427"/>
      <c r="C17" s="432"/>
      <c r="D17" s="24"/>
      <c r="E17" s="430"/>
      <c r="F17" s="431"/>
      <c r="G17" s="433"/>
      <c r="H17" s="163"/>
      <c r="I17" s="430"/>
      <c r="J17" s="431"/>
      <c r="K17" s="239"/>
      <c r="L17" s="163"/>
      <c r="M17" s="430"/>
      <c r="N17" s="431"/>
      <c r="O17" s="433"/>
      <c r="P17" s="163"/>
      <c r="Q17" s="430"/>
      <c r="R17" s="431"/>
      <c r="S17" s="433"/>
      <c r="T17" s="163"/>
      <c r="U17" s="170"/>
      <c r="V17" s="374"/>
      <c r="W17" s="171"/>
      <c r="X17" s="171"/>
      <c r="Y17" s="180"/>
    </row>
    <row r="18" spans="2:25" x14ac:dyDescent="0.25">
      <c r="B18" s="427"/>
      <c r="C18" s="16" t="s">
        <v>56</v>
      </c>
      <c r="D18" s="24">
        <f>AVERAGE(D13:D16)</f>
        <v>192.75749999999999</v>
      </c>
      <c r="E18" s="430"/>
      <c r="F18" s="431"/>
      <c r="G18" s="16" t="s">
        <v>56</v>
      </c>
      <c r="H18" s="24">
        <f>AVERAGE(H13:H16)</f>
        <v>219.315</v>
      </c>
      <c r="I18" s="430"/>
      <c r="J18" s="431"/>
      <c r="K18" s="16" t="s">
        <v>56</v>
      </c>
      <c r="L18" s="24">
        <f>AVERAGE(L13:L16)</f>
        <v>198.84249999999997</v>
      </c>
      <c r="M18" s="430"/>
      <c r="N18" s="431"/>
      <c r="O18" s="16" t="s">
        <v>56</v>
      </c>
      <c r="P18" s="24">
        <f>AVERAGE(P13:P16)</f>
        <v>174.435</v>
      </c>
      <c r="Q18" s="430"/>
      <c r="R18" s="431"/>
      <c r="S18" s="16" t="s">
        <v>56</v>
      </c>
      <c r="T18" s="24">
        <f>AVERAGE(T13:T16)</f>
        <v>16.574999999999999</v>
      </c>
      <c r="U18" s="170"/>
      <c r="V18" s="374"/>
      <c r="W18" s="171"/>
      <c r="X18" s="171"/>
      <c r="Y18" s="48"/>
    </row>
    <row r="19" spans="2:25" x14ac:dyDescent="0.25">
      <c r="B19" s="427"/>
      <c r="C19" s="55" t="s">
        <v>22</v>
      </c>
      <c r="D19" s="24">
        <f>_xlfn.STDEV.S(D13:D16)</f>
        <v>79.591430600285094</v>
      </c>
      <c r="E19" s="430"/>
      <c r="F19" s="431"/>
      <c r="G19" s="55" t="s">
        <v>22</v>
      </c>
      <c r="H19" s="24">
        <f>_xlfn.STDEV.S(H13:H16)</f>
        <v>135.51252844909465</v>
      </c>
      <c r="I19" s="430"/>
      <c r="J19" s="431"/>
      <c r="K19" s="55" t="s">
        <v>22</v>
      </c>
      <c r="L19" s="24">
        <f>_xlfn.STDEV.S(L13:L16)</f>
        <v>104.13525543733981</v>
      </c>
      <c r="M19" s="430"/>
      <c r="N19" s="431"/>
      <c r="O19" s="55" t="s">
        <v>22</v>
      </c>
      <c r="P19" s="24">
        <f>_xlfn.STDEV.S(P13:P16)</f>
        <v>105.57973306147984</v>
      </c>
      <c r="Q19" s="430"/>
      <c r="R19" s="431"/>
      <c r="S19" s="55" t="s">
        <v>22</v>
      </c>
      <c r="T19" s="24">
        <f>_xlfn.STDEV.S(T13:T16)</f>
        <v>2.4768326548234927</v>
      </c>
      <c r="U19" s="170"/>
      <c r="V19" s="374"/>
      <c r="W19" s="171"/>
      <c r="X19" s="171"/>
      <c r="Y19" s="171"/>
    </row>
    <row r="20" spans="2:25" x14ac:dyDescent="0.25">
      <c r="B20" s="4" t="s">
        <v>36</v>
      </c>
      <c r="C20" s="5" t="s">
        <v>230</v>
      </c>
      <c r="D20" s="40" t="s">
        <v>35</v>
      </c>
      <c r="E20" s="428"/>
      <c r="F20" s="4" t="s">
        <v>36</v>
      </c>
      <c r="G20" s="5" t="s">
        <v>230</v>
      </c>
      <c r="H20" s="40" t="s">
        <v>35</v>
      </c>
      <c r="I20" s="428"/>
      <c r="J20" s="4" t="s">
        <v>36</v>
      </c>
      <c r="K20" s="5" t="s">
        <v>230</v>
      </c>
      <c r="L20" s="40" t="s">
        <v>35</v>
      </c>
      <c r="M20" s="428"/>
      <c r="N20" s="4" t="s">
        <v>36</v>
      </c>
      <c r="O20" s="5" t="s">
        <v>230</v>
      </c>
      <c r="P20" s="40" t="s">
        <v>35</v>
      </c>
      <c r="Q20" s="428"/>
      <c r="R20" s="4" t="s">
        <v>36</v>
      </c>
      <c r="S20" s="5" t="s">
        <v>230</v>
      </c>
      <c r="T20" s="40" t="s">
        <v>35</v>
      </c>
      <c r="U20" s="170"/>
      <c r="V20" s="374"/>
      <c r="W20" s="171"/>
      <c r="X20" s="171"/>
      <c r="Y20" s="183"/>
    </row>
    <row r="21" spans="2:25" x14ac:dyDescent="0.25">
      <c r="B21" s="426"/>
      <c r="C21" s="13" t="s">
        <v>5</v>
      </c>
      <c r="D21" s="38">
        <v>334.62</v>
      </c>
      <c r="E21" s="428"/>
      <c r="F21" s="426"/>
      <c r="G21" s="13" t="s">
        <v>5</v>
      </c>
      <c r="H21" s="38">
        <v>202.53</v>
      </c>
      <c r="I21" s="428"/>
      <c r="J21" s="426"/>
      <c r="K21" s="13" t="s">
        <v>5</v>
      </c>
      <c r="L21" s="38">
        <v>303.62</v>
      </c>
      <c r="M21" s="428"/>
      <c r="N21" s="426"/>
      <c r="O21" s="13" t="s">
        <v>5</v>
      </c>
      <c r="P21" s="38">
        <v>644.99</v>
      </c>
      <c r="Q21" s="428"/>
      <c r="R21" s="426"/>
      <c r="S21" s="13" t="s">
        <v>5</v>
      </c>
      <c r="T21" s="38">
        <v>20.75</v>
      </c>
      <c r="U21" s="170"/>
      <c r="V21" s="374"/>
      <c r="W21" s="171"/>
      <c r="X21" s="171"/>
      <c r="Y21" s="183"/>
    </row>
    <row r="22" spans="2:25" x14ac:dyDescent="0.25">
      <c r="B22" s="427"/>
      <c r="C22" s="15" t="s">
        <v>6</v>
      </c>
      <c r="D22" s="35">
        <v>150.77000000000001</v>
      </c>
      <c r="E22" s="428"/>
      <c r="F22" s="427"/>
      <c r="G22" s="15" t="s">
        <v>6</v>
      </c>
      <c r="H22" s="35">
        <v>94.13</v>
      </c>
      <c r="I22" s="428"/>
      <c r="J22" s="427"/>
      <c r="K22" s="15" t="s">
        <v>6</v>
      </c>
      <c r="L22" s="35">
        <v>156.63999999999999</v>
      </c>
      <c r="M22" s="428"/>
      <c r="N22" s="427"/>
      <c r="O22" s="15" t="s">
        <v>6</v>
      </c>
      <c r="P22" s="35">
        <v>309.97000000000003</v>
      </c>
      <c r="Q22" s="428"/>
      <c r="R22" s="427"/>
      <c r="S22" s="15" t="s">
        <v>6</v>
      </c>
      <c r="T22" s="35">
        <v>14.43</v>
      </c>
      <c r="U22" s="170"/>
      <c r="V22" s="374"/>
      <c r="W22" s="171"/>
      <c r="X22" s="171"/>
    </row>
    <row r="23" spans="2:25" x14ac:dyDescent="0.25">
      <c r="B23" s="427"/>
      <c r="C23" s="15" t="s">
        <v>7</v>
      </c>
      <c r="D23" s="35">
        <v>188.34</v>
      </c>
      <c r="E23" s="428"/>
      <c r="F23" s="427"/>
      <c r="G23" s="15" t="s">
        <v>7</v>
      </c>
      <c r="H23" s="35">
        <v>139.08000000000001</v>
      </c>
      <c r="I23" s="428"/>
      <c r="J23" s="427"/>
      <c r="K23" s="15" t="s">
        <v>7</v>
      </c>
      <c r="L23" s="35">
        <v>90.49</v>
      </c>
      <c r="M23" s="428"/>
      <c r="N23" s="427"/>
      <c r="O23" s="15" t="s">
        <v>7</v>
      </c>
      <c r="P23" s="35">
        <v>241.36</v>
      </c>
      <c r="Q23" s="428"/>
      <c r="R23" s="427"/>
      <c r="S23" s="15" t="s">
        <v>7</v>
      </c>
      <c r="T23" s="35">
        <v>16.61</v>
      </c>
      <c r="U23" s="170"/>
      <c r="V23" s="374"/>
      <c r="W23" s="171"/>
      <c r="X23" s="171"/>
    </row>
    <row r="24" spans="2:25" x14ac:dyDescent="0.25">
      <c r="B24" s="427"/>
      <c r="C24" s="15" t="s">
        <v>8</v>
      </c>
      <c r="D24" s="35">
        <v>81.709999999999994</v>
      </c>
      <c r="E24" s="428"/>
      <c r="F24" s="427"/>
      <c r="G24" s="15" t="s">
        <v>8</v>
      </c>
      <c r="H24" s="35">
        <v>50.98</v>
      </c>
      <c r="I24" s="428"/>
      <c r="J24" s="427"/>
      <c r="K24" s="15" t="s">
        <v>8</v>
      </c>
      <c r="L24" s="35">
        <v>45.51</v>
      </c>
      <c r="M24" s="428"/>
      <c r="N24" s="427"/>
      <c r="O24" s="15" t="s">
        <v>8</v>
      </c>
      <c r="P24" s="35">
        <v>111.79</v>
      </c>
      <c r="Q24" s="428"/>
      <c r="R24" s="427"/>
      <c r="S24" s="15" t="s">
        <v>8</v>
      </c>
      <c r="T24" s="35">
        <v>14.43</v>
      </c>
      <c r="U24" s="170"/>
      <c r="V24" s="374"/>
      <c r="W24" s="171"/>
      <c r="X24" s="171"/>
    </row>
    <row r="25" spans="2:25" x14ac:dyDescent="0.25">
      <c r="B25" s="427"/>
      <c r="C25" s="429"/>
      <c r="D25" s="37"/>
      <c r="E25" s="428"/>
      <c r="F25" s="427"/>
      <c r="G25" s="429"/>
      <c r="H25" s="37"/>
      <c r="I25" s="428"/>
      <c r="J25" s="427"/>
      <c r="K25" s="15"/>
      <c r="L25" s="37"/>
      <c r="M25" s="428"/>
      <c r="N25" s="427"/>
      <c r="O25" s="429"/>
      <c r="P25" s="37"/>
      <c r="Q25" s="428"/>
      <c r="R25" s="427"/>
      <c r="S25" s="429"/>
      <c r="T25" s="37"/>
      <c r="U25" s="170"/>
      <c r="V25" s="374"/>
      <c r="W25" s="171"/>
      <c r="X25" s="171"/>
    </row>
    <row r="26" spans="2:25" x14ac:dyDescent="0.25">
      <c r="B26" s="427"/>
      <c r="C26" s="16" t="s">
        <v>56</v>
      </c>
      <c r="D26" s="24">
        <f>AVERAGE(D21:D24)</f>
        <v>188.86</v>
      </c>
      <c r="E26" s="430"/>
      <c r="F26" s="431"/>
      <c r="G26" s="16" t="s">
        <v>56</v>
      </c>
      <c r="H26" s="24">
        <f>AVERAGE(H21:H24)</f>
        <v>121.68</v>
      </c>
      <c r="I26" s="430"/>
      <c r="J26" s="431"/>
      <c r="K26" s="16" t="s">
        <v>56</v>
      </c>
      <c r="L26" s="24">
        <f>AVERAGE(L21:L24)</f>
        <v>149.065</v>
      </c>
      <c r="M26" s="430"/>
      <c r="N26" s="431"/>
      <c r="O26" s="16" t="s">
        <v>56</v>
      </c>
      <c r="P26" s="24">
        <f>AVERAGE(P21:P24)</f>
        <v>327.02750000000003</v>
      </c>
      <c r="Q26" s="430"/>
      <c r="R26" s="431"/>
      <c r="S26" s="16" t="s">
        <v>56</v>
      </c>
      <c r="T26" s="24">
        <f>AVERAGE(T21:T24)</f>
        <v>16.555</v>
      </c>
      <c r="U26" s="170"/>
      <c r="V26" s="374"/>
      <c r="W26" s="171"/>
      <c r="X26" s="171"/>
    </row>
    <row r="27" spans="2:25" x14ac:dyDescent="0.25">
      <c r="B27" s="434"/>
      <c r="C27" s="56" t="s">
        <v>22</v>
      </c>
      <c r="D27" s="23">
        <f>_xlfn.STDEV.S(D21:D24)</f>
        <v>106.73677685471546</v>
      </c>
      <c r="E27" s="430"/>
      <c r="F27" s="435"/>
      <c r="G27" s="56" t="s">
        <v>22</v>
      </c>
      <c r="H27" s="23">
        <f>_xlfn.STDEV.S(H21:H24)</f>
        <v>64.799627056539947</v>
      </c>
      <c r="I27" s="430"/>
      <c r="J27" s="435"/>
      <c r="K27" s="56" t="s">
        <v>22</v>
      </c>
      <c r="L27" s="23">
        <f>_xlfn.STDEV.S(L21:L24)</f>
        <v>112.69323744868926</v>
      </c>
      <c r="M27" s="430"/>
      <c r="N27" s="435"/>
      <c r="O27" s="56" t="s">
        <v>22</v>
      </c>
      <c r="P27" s="23">
        <f>_xlfn.STDEV.S(P21:P24)</f>
        <v>227.34497404825115</v>
      </c>
      <c r="Q27" s="430"/>
      <c r="R27" s="435"/>
      <c r="S27" s="56" t="s">
        <v>22</v>
      </c>
      <c r="T27" s="23">
        <f>_xlfn.STDEV.S(T21:T24)</f>
        <v>2.9795021955577292</v>
      </c>
      <c r="U27" s="170"/>
      <c r="V27" s="374"/>
      <c r="W27" s="171"/>
      <c r="X27" s="171"/>
    </row>
    <row r="28" spans="2:25" x14ac:dyDescent="0.25">
      <c r="B28" s="428"/>
      <c r="C28" s="428"/>
      <c r="D28" s="234"/>
      <c r="E28" s="428"/>
      <c r="F28" s="428"/>
      <c r="G28" s="428"/>
      <c r="H28" s="234"/>
      <c r="I28" s="428"/>
      <c r="J28" s="428"/>
      <c r="K28" s="234"/>
      <c r="L28" s="234"/>
      <c r="M28" s="428"/>
      <c r="N28" s="428"/>
      <c r="O28" s="428"/>
      <c r="P28" s="234"/>
      <c r="Q28" s="428"/>
      <c r="R28" s="428"/>
      <c r="S28" s="428"/>
      <c r="T28" s="234"/>
      <c r="U28" s="170"/>
      <c r="V28" s="374"/>
      <c r="W28" s="171"/>
      <c r="X28" s="171"/>
    </row>
    <row r="29" spans="2:25" x14ac:dyDescent="0.25">
      <c r="B29" s="373" t="s">
        <v>45</v>
      </c>
      <c r="C29" s="436"/>
      <c r="D29" s="33"/>
      <c r="E29" s="272"/>
      <c r="F29" s="373" t="s">
        <v>46</v>
      </c>
      <c r="G29" s="436"/>
      <c r="H29" s="33"/>
      <c r="I29" s="272"/>
      <c r="J29" s="373" t="s">
        <v>47</v>
      </c>
      <c r="K29" s="257"/>
      <c r="L29" s="33"/>
      <c r="M29" s="272"/>
      <c r="N29" s="373" t="s">
        <v>48</v>
      </c>
      <c r="O29" s="436"/>
      <c r="P29" s="381"/>
      <c r="Q29" s="272"/>
      <c r="R29" s="437"/>
      <c r="S29" s="272"/>
      <c r="T29" s="33"/>
      <c r="U29" s="170"/>
      <c r="V29" s="374"/>
      <c r="W29" s="171"/>
      <c r="X29" s="171"/>
    </row>
    <row r="30" spans="2:25" x14ac:dyDescent="0.25">
      <c r="B30" s="4" t="s">
        <v>4</v>
      </c>
      <c r="C30" s="5" t="s">
        <v>230</v>
      </c>
      <c r="D30" s="40" t="s">
        <v>35</v>
      </c>
      <c r="E30" s="272"/>
      <c r="F30" s="4" t="s">
        <v>4</v>
      </c>
      <c r="G30" s="5" t="s">
        <v>230</v>
      </c>
      <c r="H30" s="40" t="s">
        <v>35</v>
      </c>
      <c r="I30" s="272"/>
      <c r="J30" s="4" t="s">
        <v>4</v>
      </c>
      <c r="K30" s="5" t="s">
        <v>230</v>
      </c>
      <c r="L30" s="40" t="s">
        <v>35</v>
      </c>
      <c r="M30" s="272"/>
      <c r="N30" s="4" t="s">
        <v>4</v>
      </c>
      <c r="O30" s="5" t="s">
        <v>230</v>
      </c>
      <c r="P30" s="40" t="s">
        <v>35</v>
      </c>
      <c r="Q30" s="272"/>
      <c r="R30" s="21"/>
      <c r="S30" s="21"/>
      <c r="T30" s="21"/>
      <c r="U30" s="170"/>
      <c r="V30" s="374"/>
      <c r="W30" s="171"/>
      <c r="X30" s="171"/>
    </row>
    <row r="31" spans="2:25" x14ac:dyDescent="0.25">
      <c r="B31" s="427"/>
      <c r="C31" s="15" t="s">
        <v>5</v>
      </c>
      <c r="D31" s="35">
        <v>187</v>
      </c>
      <c r="E31" s="428"/>
      <c r="F31" s="427"/>
      <c r="G31" s="15" t="s">
        <v>5</v>
      </c>
      <c r="H31" s="35">
        <v>86.05</v>
      </c>
      <c r="I31" s="428"/>
      <c r="J31" s="427"/>
      <c r="K31" s="15" t="s">
        <v>5</v>
      </c>
      <c r="L31" s="35">
        <v>7.94</v>
      </c>
      <c r="M31" s="428"/>
      <c r="N31" s="427"/>
      <c r="O31" s="15" t="s">
        <v>5</v>
      </c>
      <c r="P31" s="35">
        <v>10.58</v>
      </c>
      <c r="Q31" s="428"/>
      <c r="R31" s="428"/>
      <c r="S31" s="272"/>
      <c r="T31" s="33"/>
      <c r="U31" s="170"/>
      <c r="V31" s="374"/>
      <c r="W31" s="171"/>
      <c r="X31" s="171"/>
    </row>
    <row r="32" spans="2:25" x14ac:dyDescent="0.25">
      <c r="B32" s="427"/>
      <c r="C32" s="15" t="s">
        <v>6</v>
      </c>
      <c r="D32" s="35">
        <v>51.12</v>
      </c>
      <c r="E32" s="428"/>
      <c r="F32" s="427"/>
      <c r="G32" s="15" t="s">
        <v>6</v>
      </c>
      <c r="H32" s="35">
        <v>30.7</v>
      </c>
      <c r="I32" s="428"/>
      <c r="J32" s="427"/>
      <c r="K32" s="15" t="s">
        <v>6</v>
      </c>
      <c r="L32" s="35">
        <v>7.94</v>
      </c>
      <c r="M32" s="428"/>
      <c r="N32" s="427"/>
      <c r="O32" s="15" t="s">
        <v>6</v>
      </c>
      <c r="P32" s="35">
        <v>6.23</v>
      </c>
      <c r="Q32" s="428"/>
      <c r="R32" s="428"/>
      <c r="S32" s="272"/>
      <c r="T32" s="79"/>
      <c r="U32" s="170"/>
      <c r="V32" s="374"/>
      <c r="W32" s="171"/>
      <c r="X32" s="171"/>
    </row>
    <row r="33" spans="2:24" x14ac:dyDescent="0.25">
      <c r="B33" s="427"/>
      <c r="C33" s="15" t="s">
        <v>7</v>
      </c>
      <c r="D33" s="37">
        <v>152.25</v>
      </c>
      <c r="E33" s="428"/>
      <c r="F33" s="427"/>
      <c r="G33" s="15" t="s">
        <v>7</v>
      </c>
      <c r="H33" s="35">
        <v>58.29</v>
      </c>
      <c r="I33" s="428"/>
      <c r="J33" s="427"/>
      <c r="K33" s="15" t="s">
        <v>7</v>
      </c>
      <c r="L33" s="35">
        <v>3.21</v>
      </c>
      <c r="M33" s="428"/>
      <c r="N33" s="427"/>
      <c r="O33" s="15" t="s">
        <v>7</v>
      </c>
      <c r="P33" s="35">
        <v>12.81</v>
      </c>
      <c r="Q33" s="428"/>
      <c r="R33" s="428"/>
      <c r="S33" s="272"/>
      <c r="T33" s="33"/>
      <c r="U33" s="170"/>
      <c r="V33" s="374"/>
      <c r="W33" s="171"/>
      <c r="X33" s="171"/>
    </row>
    <row r="34" spans="2:24" x14ac:dyDescent="0.25">
      <c r="B34" s="427"/>
      <c r="C34" s="15" t="s">
        <v>8</v>
      </c>
      <c r="D34" s="37">
        <v>57.08</v>
      </c>
      <c r="E34" s="428"/>
      <c r="F34" s="427"/>
      <c r="G34" s="15" t="s">
        <v>8</v>
      </c>
      <c r="H34" s="37">
        <v>28.67</v>
      </c>
      <c r="I34" s="428"/>
      <c r="J34" s="427"/>
      <c r="K34" s="15" t="s">
        <v>8</v>
      </c>
      <c r="L34" s="35">
        <v>7.94</v>
      </c>
      <c r="M34" s="428"/>
      <c r="N34" s="427"/>
      <c r="O34" s="15" t="s">
        <v>8</v>
      </c>
      <c r="P34" s="35">
        <v>10.58</v>
      </c>
      <c r="Q34" s="428"/>
      <c r="R34" s="428"/>
      <c r="S34" s="272"/>
      <c r="T34" s="33"/>
      <c r="U34" s="170"/>
      <c r="V34" s="374"/>
      <c r="W34" s="171"/>
      <c r="X34" s="171"/>
    </row>
    <row r="35" spans="2:24" x14ac:dyDescent="0.25">
      <c r="B35" s="427"/>
      <c r="C35" s="429"/>
      <c r="D35" s="438"/>
      <c r="E35" s="428"/>
      <c r="F35" s="427"/>
      <c r="G35" s="429"/>
      <c r="H35" s="37"/>
      <c r="I35" s="428"/>
      <c r="J35" s="427"/>
      <c r="K35" s="15"/>
      <c r="L35" s="35"/>
      <c r="M35" s="428"/>
      <c r="N35" s="427"/>
      <c r="O35" s="429"/>
      <c r="P35" s="37"/>
      <c r="Q35" s="428"/>
      <c r="R35" s="428"/>
      <c r="S35" s="272"/>
      <c r="T35" s="272"/>
      <c r="U35" s="170"/>
      <c r="V35" s="374"/>
      <c r="W35" s="171"/>
      <c r="X35" s="171"/>
    </row>
    <row r="36" spans="2:24" x14ac:dyDescent="0.25">
      <c r="B36" s="427"/>
      <c r="C36" s="16" t="s">
        <v>56</v>
      </c>
      <c r="D36" s="24">
        <f>AVERAGE(D31:D34)</f>
        <v>111.8625</v>
      </c>
      <c r="E36" s="430"/>
      <c r="F36" s="431"/>
      <c r="G36" s="16" t="s">
        <v>56</v>
      </c>
      <c r="H36" s="24">
        <f>AVERAGE(H31:H34)</f>
        <v>50.927499999999995</v>
      </c>
      <c r="I36" s="430"/>
      <c r="J36" s="431"/>
      <c r="K36" s="16" t="s">
        <v>56</v>
      </c>
      <c r="L36" s="24">
        <f>AVERAGE(L31:L34)</f>
        <v>6.7575000000000003</v>
      </c>
      <c r="M36" s="430"/>
      <c r="N36" s="431"/>
      <c r="O36" s="16" t="s">
        <v>56</v>
      </c>
      <c r="P36" s="24">
        <f>AVERAGE(P31:P34)</f>
        <v>10.050000000000001</v>
      </c>
      <c r="Q36" s="430"/>
      <c r="R36" s="430"/>
      <c r="S36" s="439"/>
      <c r="T36" s="439"/>
      <c r="U36" s="170"/>
      <c r="V36" s="374"/>
      <c r="W36" s="171"/>
      <c r="X36" s="171"/>
    </row>
    <row r="37" spans="2:24" x14ac:dyDescent="0.25">
      <c r="B37" s="427"/>
      <c r="C37" s="55" t="s">
        <v>22</v>
      </c>
      <c r="D37" s="24">
        <f>_xlfn.STDEV.S(D31:D34)</f>
        <v>68.233832456243192</v>
      </c>
      <c r="E37" s="430"/>
      <c r="F37" s="431"/>
      <c r="G37" s="55" t="s">
        <v>22</v>
      </c>
      <c r="H37" s="24">
        <f>_xlfn.STDEV.S(H31:H34)</f>
        <v>27.032970455846453</v>
      </c>
      <c r="I37" s="430"/>
      <c r="J37" s="431"/>
      <c r="K37" s="55" t="s">
        <v>22</v>
      </c>
      <c r="L37" s="24">
        <f>_xlfn.STDEV.S(L31:L34)</f>
        <v>2.3649999999999998</v>
      </c>
      <c r="M37" s="430"/>
      <c r="N37" s="431"/>
      <c r="O37" s="55" t="s">
        <v>22</v>
      </c>
      <c r="P37" s="24">
        <f>_xlfn.STDEV.S(P31:P34)</f>
        <v>2.7551043537405246</v>
      </c>
      <c r="Q37" s="430"/>
      <c r="R37" s="430"/>
      <c r="S37" s="439"/>
      <c r="T37" s="439"/>
      <c r="U37" s="170"/>
      <c r="V37" s="374"/>
      <c r="W37" s="171"/>
      <c r="X37" s="171"/>
    </row>
    <row r="38" spans="2:24" x14ac:dyDescent="0.25">
      <c r="B38" s="4" t="s">
        <v>25</v>
      </c>
      <c r="C38" s="5" t="s">
        <v>230</v>
      </c>
      <c r="D38" s="40" t="s">
        <v>35</v>
      </c>
      <c r="E38" s="428"/>
      <c r="F38" s="4" t="s">
        <v>25</v>
      </c>
      <c r="G38" s="5" t="s">
        <v>230</v>
      </c>
      <c r="H38" s="40" t="s">
        <v>35</v>
      </c>
      <c r="I38" s="428"/>
      <c r="J38" s="4" t="s">
        <v>25</v>
      </c>
      <c r="K38" s="5" t="s">
        <v>230</v>
      </c>
      <c r="L38" s="40" t="s">
        <v>35</v>
      </c>
      <c r="M38" s="428"/>
      <c r="N38" s="4" t="s">
        <v>25</v>
      </c>
      <c r="O38" s="5" t="s">
        <v>230</v>
      </c>
      <c r="P38" s="40" t="s">
        <v>35</v>
      </c>
      <c r="Q38" s="428"/>
      <c r="R38" s="3"/>
      <c r="S38" s="21"/>
      <c r="T38" s="21"/>
      <c r="U38" s="170"/>
      <c r="V38" s="374"/>
      <c r="W38" s="171"/>
      <c r="X38" s="171"/>
    </row>
    <row r="39" spans="2:24" x14ac:dyDescent="0.25">
      <c r="B39" s="427"/>
      <c r="C39" s="15" t="s">
        <v>5</v>
      </c>
      <c r="D39" s="35">
        <v>424.26</v>
      </c>
      <c r="E39" s="428"/>
      <c r="F39" s="427"/>
      <c r="G39" s="15" t="s">
        <v>5</v>
      </c>
      <c r="H39" s="35">
        <v>257.91000000000003</v>
      </c>
      <c r="I39" s="428"/>
      <c r="J39" s="427"/>
      <c r="K39" s="15"/>
      <c r="L39" s="35">
        <v>10.220000000000001</v>
      </c>
      <c r="M39" s="428"/>
      <c r="N39" s="427"/>
      <c r="O39" s="15" t="s">
        <v>5</v>
      </c>
      <c r="P39" s="35">
        <v>12.81</v>
      </c>
      <c r="Q39" s="428"/>
      <c r="R39" s="428"/>
      <c r="S39" s="272"/>
      <c r="T39" s="77"/>
      <c r="U39" s="170"/>
      <c r="V39" s="374"/>
      <c r="W39" s="171"/>
      <c r="X39" s="171"/>
    </row>
    <row r="40" spans="2:24" x14ac:dyDescent="0.25">
      <c r="B40" s="427"/>
      <c r="C40" s="15" t="s">
        <v>6</v>
      </c>
      <c r="D40" s="35">
        <v>234.79</v>
      </c>
      <c r="E40" s="428"/>
      <c r="F40" s="427"/>
      <c r="G40" s="15" t="s">
        <v>6</v>
      </c>
      <c r="H40" s="35">
        <v>169.74</v>
      </c>
      <c r="I40" s="428"/>
      <c r="J40" s="427"/>
      <c r="K40" s="15"/>
      <c r="L40" s="35">
        <v>12.45</v>
      </c>
      <c r="M40" s="428"/>
      <c r="N40" s="427"/>
      <c r="O40" s="15" t="s">
        <v>6</v>
      </c>
      <c r="P40" s="35">
        <v>17.32</v>
      </c>
      <c r="Q40" s="428"/>
      <c r="R40" s="428"/>
      <c r="S40" s="272"/>
      <c r="T40" s="272"/>
      <c r="U40" s="170"/>
      <c r="V40" s="374"/>
      <c r="W40" s="171"/>
      <c r="X40" s="171"/>
    </row>
    <row r="41" spans="2:24" x14ac:dyDescent="0.25">
      <c r="B41" s="427"/>
      <c r="C41" s="15" t="s">
        <v>7</v>
      </c>
      <c r="D41" s="35">
        <v>626.39</v>
      </c>
      <c r="E41" s="428"/>
      <c r="F41" s="427"/>
      <c r="G41" s="15" t="s">
        <v>7</v>
      </c>
      <c r="H41" s="35">
        <v>534</v>
      </c>
      <c r="I41" s="428"/>
      <c r="J41" s="427"/>
      <c r="K41" s="15"/>
      <c r="L41" s="35">
        <v>16.72</v>
      </c>
      <c r="M41" s="428"/>
      <c r="N41" s="427"/>
      <c r="O41" s="15" t="s">
        <v>7</v>
      </c>
      <c r="P41" s="35">
        <v>17.32</v>
      </c>
      <c r="Q41" s="428"/>
      <c r="R41" s="428"/>
      <c r="S41" s="272"/>
      <c r="T41" s="272"/>
      <c r="U41" s="170"/>
      <c r="V41" s="374"/>
      <c r="W41" s="171"/>
      <c r="X41" s="171"/>
    </row>
    <row r="42" spans="2:24" x14ac:dyDescent="0.25">
      <c r="B42" s="427"/>
      <c r="C42" s="15" t="s">
        <v>8</v>
      </c>
      <c r="D42" s="35">
        <v>374.72</v>
      </c>
      <c r="E42" s="428"/>
      <c r="F42" s="427"/>
      <c r="G42" s="15" t="s">
        <v>8</v>
      </c>
      <c r="H42" s="35">
        <v>375.73</v>
      </c>
      <c r="I42" s="428"/>
      <c r="J42" s="427"/>
      <c r="K42" s="15"/>
      <c r="L42" s="35">
        <v>10.220000000000001</v>
      </c>
      <c r="M42" s="428"/>
      <c r="N42" s="427"/>
      <c r="O42" s="15" t="s">
        <v>8</v>
      </c>
      <c r="P42" s="35">
        <v>10.58</v>
      </c>
      <c r="Q42" s="428"/>
      <c r="R42" s="428"/>
      <c r="S42" s="272"/>
      <c r="T42" s="272"/>
      <c r="U42" s="170"/>
      <c r="V42" s="374"/>
      <c r="W42" s="171"/>
      <c r="X42" s="171"/>
    </row>
    <row r="43" spans="2:24" x14ac:dyDescent="0.25">
      <c r="B43" s="427"/>
      <c r="C43" s="433"/>
      <c r="D43" s="163"/>
      <c r="E43" s="430"/>
      <c r="F43" s="431"/>
      <c r="G43" s="433"/>
      <c r="H43" s="163"/>
      <c r="I43" s="430"/>
      <c r="J43" s="431"/>
      <c r="K43" s="239"/>
      <c r="L43" s="163"/>
      <c r="M43" s="430"/>
      <c r="N43" s="431"/>
      <c r="O43" s="433"/>
      <c r="P43" s="163"/>
      <c r="Q43" s="430"/>
      <c r="R43" s="430"/>
      <c r="S43" s="440"/>
      <c r="T43" s="440"/>
      <c r="U43" s="170"/>
      <c r="V43" s="374"/>
      <c r="W43" s="171"/>
      <c r="X43" s="171"/>
    </row>
    <row r="44" spans="2:24" x14ac:dyDescent="0.25">
      <c r="B44" s="427"/>
      <c r="C44" s="16" t="s">
        <v>56</v>
      </c>
      <c r="D44" s="24">
        <f>AVERAGE(D39:D42)</f>
        <v>415.04</v>
      </c>
      <c r="E44" s="430"/>
      <c r="F44" s="431"/>
      <c r="G44" s="16" t="s">
        <v>56</v>
      </c>
      <c r="H44" s="24">
        <f>AVERAGE(H39:H42)</f>
        <v>334.34500000000003</v>
      </c>
      <c r="I44" s="430"/>
      <c r="J44" s="431"/>
      <c r="K44" s="16" t="s">
        <v>56</v>
      </c>
      <c r="L44" s="24">
        <f>AVERAGE(L39:L42)</f>
        <v>12.4025</v>
      </c>
      <c r="M44" s="430"/>
      <c r="N44" s="431"/>
      <c r="O44" s="16" t="s">
        <v>56</v>
      </c>
      <c r="P44" s="24">
        <f>AVERAGE(P39:P42)</f>
        <v>14.5075</v>
      </c>
      <c r="Q44" s="430"/>
      <c r="R44" s="430"/>
      <c r="S44" s="439"/>
      <c r="T44" s="439"/>
      <c r="U44" s="170"/>
      <c r="V44" s="374"/>
      <c r="W44" s="171"/>
      <c r="X44" s="171"/>
    </row>
    <row r="45" spans="2:24" x14ac:dyDescent="0.25">
      <c r="B45" s="427"/>
      <c r="C45" s="55" t="s">
        <v>22</v>
      </c>
      <c r="D45" s="24">
        <f>_xlfn.STDEV.S(D39:D42)</f>
        <v>162.14149766998759</v>
      </c>
      <c r="E45" s="430"/>
      <c r="F45" s="431"/>
      <c r="G45" s="55" t="s">
        <v>22</v>
      </c>
      <c r="H45" s="24">
        <f>_xlfn.STDEV.S(H39:H42)</f>
        <v>157.59859612318888</v>
      </c>
      <c r="I45" s="430"/>
      <c r="J45" s="431"/>
      <c r="K45" s="55" t="s">
        <v>22</v>
      </c>
      <c r="L45" s="24">
        <f>_xlfn.STDEV.S(L39:L42)</f>
        <v>3.0642930125343204</v>
      </c>
      <c r="M45" s="430"/>
      <c r="N45" s="431"/>
      <c r="O45" s="55" t="s">
        <v>22</v>
      </c>
      <c r="P45" s="24">
        <f>_xlfn.STDEV.S(P39:P42)</f>
        <v>3.3727869287381114</v>
      </c>
      <c r="Q45" s="430"/>
      <c r="R45" s="430"/>
      <c r="S45" s="439"/>
      <c r="T45" s="439"/>
      <c r="U45" s="170"/>
      <c r="V45" s="374"/>
      <c r="W45" s="171"/>
      <c r="X45" s="171"/>
    </row>
    <row r="46" spans="2:24" x14ac:dyDescent="0.25">
      <c r="B46" s="4" t="s">
        <v>36</v>
      </c>
      <c r="C46" s="5" t="s">
        <v>230</v>
      </c>
      <c r="D46" s="40" t="s">
        <v>35</v>
      </c>
      <c r="E46" s="428"/>
      <c r="F46" s="4" t="s">
        <v>36</v>
      </c>
      <c r="G46" s="5" t="s">
        <v>230</v>
      </c>
      <c r="H46" s="40" t="s">
        <v>35</v>
      </c>
      <c r="I46" s="428"/>
      <c r="J46" s="4" t="s">
        <v>36</v>
      </c>
      <c r="K46" s="5" t="s">
        <v>230</v>
      </c>
      <c r="L46" s="40" t="s">
        <v>35</v>
      </c>
      <c r="M46" s="428"/>
      <c r="N46" s="4" t="s">
        <v>36</v>
      </c>
      <c r="O46" s="5" t="s">
        <v>230</v>
      </c>
      <c r="P46" s="40" t="s">
        <v>35</v>
      </c>
      <c r="Q46" s="428"/>
      <c r="R46" s="3"/>
      <c r="S46" s="21"/>
      <c r="T46" s="21"/>
      <c r="U46" s="170"/>
      <c r="V46" s="374"/>
      <c r="W46" s="171"/>
      <c r="X46" s="171"/>
    </row>
    <row r="47" spans="2:24" x14ac:dyDescent="0.25">
      <c r="B47" s="426"/>
      <c r="C47" s="13" t="s">
        <v>5</v>
      </c>
      <c r="D47" s="38">
        <v>1461</v>
      </c>
      <c r="E47" s="428"/>
      <c r="F47" s="426"/>
      <c r="G47" s="13" t="s">
        <v>5</v>
      </c>
      <c r="H47" s="38">
        <v>1042</v>
      </c>
      <c r="I47" s="428"/>
      <c r="J47" s="426"/>
      <c r="K47" s="13" t="s">
        <v>5</v>
      </c>
      <c r="L47" s="38">
        <v>18.78</v>
      </c>
      <c r="M47" s="428"/>
      <c r="N47" s="426"/>
      <c r="O47" s="13" t="s">
        <v>5</v>
      </c>
      <c r="P47" s="38">
        <v>19.579999999999998</v>
      </c>
      <c r="Q47" s="441"/>
      <c r="R47" s="428"/>
      <c r="S47" s="272"/>
      <c r="T47" s="77"/>
      <c r="U47" s="170"/>
      <c r="V47" s="374"/>
      <c r="W47" s="171"/>
      <c r="X47" s="171"/>
    </row>
    <row r="48" spans="2:24" x14ac:dyDescent="0.25">
      <c r="B48" s="427"/>
      <c r="C48" s="15" t="s">
        <v>6</v>
      </c>
      <c r="D48" s="35">
        <v>655.53</v>
      </c>
      <c r="E48" s="428"/>
      <c r="F48" s="427"/>
      <c r="G48" s="15" t="s">
        <v>6</v>
      </c>
      <c r="H48" s="35">
        <v>588.91999999999996</v>
      </c>
      <c r="I48" s="428"/>
      <c r="J48" s="427"/>
      <c r="K48" s="15" t="s">
        <v>6</v>
      </c>
      <c r="L48" s="35">
        <v>10.220000000000001</v>
      </c>
      <c r="M48" s="428"/>
      <c r="N48" s="427"/>
      <c r="O48" s="15" t="s">
        <v>6</v>
      </c>
      <c r="P48" s="35">
        <v>15.06</v>
      </c>
      <c r="Q48" s="428"/>
      <c r="R48" s="428"/>
      <c r="S48" s="272"/>
      <c r="T48" s="272"/>
      <c r="U48" s="170"/>
      <c r="V48" s="374"/>
      <c r="W48" s="171"/>
      <c r="X48" s="171"/>
    </row>
    <row r="49" spans="2:24" x14ac:dyDescent="0.25">
      <c r="B49" s="427"/>
      <c r="C49" s="15" t="s">
        <v>7</v>
      </c>
      <c r="D49" s="35">
        <v>601.91999999999996</v>
      </c>
      <c r="E49" s="428"/>
      <c r="F49" s="427"/>
      <c r="G49" s="15" t="s">
        <v>7</v>
      </c>
      <c r="H49" s="35">
        <v>490.64</v>
      </c>
      <c r="I49" s="428"/>
      <c r="J49" s="427"/>
      <c r="K49" s="15" t="s">
        <v>7</v>
      </c>
      <c r="L49" s="35">
        <v>12.45</v>
      </c>
      <c r="M49" s="428"/>
      <c r="N49" s="427"/>
      <c r="O49" s="15" t="s">
        <v>7</v>
      </c>
      <c r="P49" s="35">
        <v>17.32</v>
      </c>
      <c r="Q49" s="428"/>
      <c r="R49" s="428"/>
      <c r="S49" s="272"/>
      <c r="T49" s="272"/>
      <c r="U49" s="170"/>
      <c r="V49" s="374"/>
      <c r="W49" s="171"/>
      <c r="X49" s="171"/>
    </row>
    <row r="50" spans="2:24" x14ac:dyDescent="0.25">
      <c r="B50" s="427"/>
      <c r="C50" s="15" t="s">
        <v>8</v>
      </c>
      <c r="D50" s="35">
        <v>290.08999999999997</v>
      </c>
      <c r="E50" s="428"/>
      <c r="F50" s="427"/>
      <c r="G50" s="15" t="s">
        <v>8</v>
      </c>
      <c r="H50" s="35">
        <v>277.43</v>
      </c>
      <c r="I50" s="428"/>
      <c r="J50" s="427"/>
      <c r="K50" s="15" t="s">
        <v>8</v>
      </c>
      <c r="L50" s="35">
        <v>10.220000000000001</v>
      </c>
      <c r="M50" s="428"/>
      <c r="N50" s="427"/>
      <c r="O50" s="15" t="s">
        <v>8</v>
      </c>
      <c r="P50" s="35">
        <v>15.06</v>
      </c>
      <c r="Q50" s="428"/>
      <c r="R50" s="428"/>
      <c r="S50" s="272"/>
      <c r="T50" s="272"/>
      <c r="U50" s="170"/>
      <c r="V50" s="374"/>
      <c r="W50" s="171"/>
      <c r="X50" s="171"/>
    </row>
    <row r="51" spans="2:24" x14ac:dyDescent="0.25">
      <c r="B51" s="427"/>
      <c r="C51" s="429"/>
      <c r="D51" s="37"/>
      <c r="E51" s="428"/>
      <c r="F51" s="427"/>
      <c r="G51" s="429"/>
      <c r="H51" s="37"/>
      <c r="I51" s="428"/>
      <c r="J51" s="427"/>
      <c r="K51" s="15"/>
      <c r="L51" s="438"/>
      <c r="M51" s="428"/>
      <c r="N51" s="427"/>
      <c r="O51" s="429"/>
      <c r="P51" s="37"/>
      <c r="Q51" s="428"/>
      <c r="R51" s="428"/>
      <c r="S51" s="272"/>
      <c r="T51" s="272"/>
      <c r="U51" s="170"/>
      <c r="V51" s="374"/>
      <c r="W51" s="171"/>
      <c r="X51" s="171"/>
    </row>
    <row r="52" spans="2:24" x14ac:dyDescent="0.25">
      <c r="B52" s="427"/>
      <c r="C52" s="16" t="s">
        <v>56</v>
      </c>
      <c r="D52" s="24">
        <f>AVERAGE(D47:D50)</f>
        <v>752.13499999999999</v>
      </c>
      <c r="E52" s="430"/>
      <c r="F52" s="431"/>
      <c r="G52" s="16" t="s">
        <v>56</v>
      </c>
      <c r="H52" s="24">
        <f>AVERAGE(H47:H50)</f>
        <v>599.74749999999995</v>
      </c>
      <c r="I52" s="430"/>
      <c r="J52" s="431"/>
      <c r="K52" s="16" t="s">
        <v>56</v>
      </c>
      <c r="L52" s="24">
        <f>AVERAGE(L47:L50)</f>
        <v>12.9175</v>
      </c>
      <c r="M52" s="430"/>
      <c r="N52" s="431"/>
      <c r="O52" s="16" t="s">
        <v>56</v>
      </c>
      <c r="P52" s="24">
        <f>AVERAGE(P47:P50)</f>
        <v>16.754999999999999</v>
      </c>
      <c r="Q52" s="430"/>
      <c r="R52" s="430"/>
      <c r="S52" s="439"/>
      <c r="T52" s="439"/>
      <c r="U52" s="170"/>
      <c r="V52" s="374"/>
      <c r="W52" s="171"/>
      <c r="X52" s="171"/>
    </row>
    <row r="53" spans="2:24" x14ac:dyDescent="0.25">
      <c r="B53" s="434"/>
      <c r="C53" s="56" t="s">
        <v>22</v>
      </c>
      <c r="D53" s="23">
        <f>_xlfn.STDEV.S(D47:D50)</f>
        <v>499.2902437460599</v>
      </c>
      <c r="E53" s="430"/>
      <c r="F53" s="435"/>
      <c r="G53" s="56" t="s">
        <v>22</v>
      </c>
      <c r="H53" s="23">
        <f>_xlfn.STDEV.S(H47:H50)</f>
        <v>322.23052093959086</v>
      </c>
      <c r="I53" s="430"/>
      <c r="J53" s="435"/>
      <c r="K53" s="56" t="s">
        <v>22</v>
      </c>
      <c r="L53" s="23">
        <f>_xlfn.STDEV.S(L47:L50)</f>
        <v>4.0472408296682003</v>
      </c>
      <c r="M53" s="430"/>
      <c r="N53" s="435"/>
      <c r="O53" s="56" t="s">
        <v>22</v>
      </c>
      <c r="P53" s="23">
        <f>_xlfn.STDEV.S(P47:P50)</f>
        <v>2.1637852635293298</v>
      </c>
      <c r="Q53" s="430"/>
      <c r="R53" s="430"/>
      <c r="S53" s="439"/>
      <c r="T53" s="439"/>
      <c r="U53" s="170"/>
      <c r="V53" s="374"/>
      <c r="W53" s="171"/>
      <c r="X53" s="171"/>
    </row>
    <row r="54" spans="2:24" x14ac:dyDescent="0.25">
      <c r="B54" s="428"/>
      <c r="C54" s="428"/>
      <c r="D54" s="234"/>
      <c r="E54" s="428"/>
      <c r="F54" s="441"/>
      <c r="G54" s="441"/>
      <c r="H54" s="237"/>
      <c r="I54" s="428"/>
      <c r="J54" s="428"/>
      <c r="K54" s="234"/>
      <c r="L54" s="234"/>
      <c r="M54" s="428"/>
      <c r="N54" s="428"/>
      <c r="O54" s="428"/>
      <c r="P54" s="234"/>
      <c r="Q54" s="428"/>
      <c r="R54" s="441"/>
      <c r="S54" s="77"/>
      <c r="T54" s="77"/>
      <c r="U54" s="374"/>
      <c r="V54" s="374"/>
      <c r="W54" s="171"/>
      <c r="X54" s="171"/>
    </row>
    <row r="55" spans="2:24" x14ac:dyDescent="0.25">
      <c r="B55" s="428"/>
      <c r="C55" s="428"/>
      <c r="D55" s="234"/>
      <c r="E55" s="428"/>
      <c r="F55" s="428"/>
      <c r="G55" s="428"/>
      <c r="H55" s="234"/>
      <c r="I55" s="428"/>
      <c r="J55" s="428"/>
      <c r="K55" s="234"/>
      <c r="L55" s="234"/>
      <c r="M55" s="428"/>
      <c r="N55" s="428"/>
      <c r="O55" s="428"/>
      <c r="P55" s="234"/>
      <c r="Q55" s="428"/>
      <c r="R55" s="428"/>
      <c r="S55" s="272"/>
      <c r="T55" s="272"/>
      <c r="U55" s="272"/>
      <c r="V55" s="272"/>
    </row>
    <row r="56" spans="2:24" x14ac:dyDescent="0.25">
      <c r="B56" s="244"/>
      <c r="C56" s="244"/>
      <c r="D56" s="248"/>
      <c r="E56" s="244"/>
      <c r="F56" s="244"/>
      <c r="G56" s="244"/>
      <c r="H56" s="248"/>
      <c r="I56" s="244"/>
      <c r="J56" s="244"/>
      <c r="K56" s="248"/>
      <c r="L56" s="248"/>
      <c r="M56" s="244"/>
      <c r="N56" s="244"/>
      <c r="O56" s="244"/>
      <c r="P56" s="248"/>
      <c r="Q56" s="244"/>
      <c r="R56" s="244"/>
    </row>
    <row r="57" spans="2:24" x14ac:dyDescent="0.25">
      <c r="B57" s="244"/>
      <c r="C57" s="244"/>
      <c r="D57" s="248"/>
      <c r="E57" s="244"/>
      <c r="F57" s="244"/>
      <c r="G57" s="244"/>
      <c r="H57" s="248"/>
      <c r="I57" s="244"/>
      <c r="J57" s="244"/>
      <c r="K57" s="248"/>
      <c r="L57" s="248"/>
      <c r="M57" s="244"/>
      <c r="N57" s="244"/>
      <c r="O57" s="244"/>
      <c r="P57" s="248"/>
      <c r="Q57" s="244"/>
      <c r="R57" s="244"/>
    </row>
    <row r="58" spans="2:24" x14ac:dyDescent="0.25">
      <c r="B58" s="244"/>
      <c r="C58" s="244"/>
      <c r="D58" s="244"/>
      <c r="E58" s="244"/>
      <c r="F58" s="244"/>
      <c r="G58" s="244"/>
      <c r="H58" s="244"/>
      <c r="I58" s="244"/>
      <c r="J58" s="244"/>
      <c r="K58" s="244"/>
      <c r="L58" s="244"/>
      <c r="M58" s="244"/>
      <c r="N58" s="244"/>
      <c r="O58" s="244"/>
      <c r="P58" s="244"/>
      <c r="Q58" s="244"/>
      <c r="R58" s="244"/>
    </row>
    <row r="59" spans="2:24" x14ac:dyDescent="0.25">
      <c r="B59" s="244"/>
      <c r="C59" s="244"/>
      <c r="D59" s="244"/>
      <c r="E59" s="244"/>
      <c r="F59" s="244"/>
      <c r="G59" s="244"/>
      <c r="H59" s="244"/>
      <c r="I59" s="244"/>
      <c r="J59" s="244"/>
      <c r="K59" s="244"/>
      <c r="L59" s="244"/>
      <c r="M59" s="244"/>
      <c r="N59" s="244"/>
      <c r="O59" s="244"/>
      <c r="P59" s="244"/>
      <c r="Q59" s="244"/>
      <c r="R59" s="244"/>
    </row>
    <row r="60" spans="2:24" x14ac:dyDescent="0.25">
      <c r="B60" s="244"/>
      <c r="C60" s="244"/>
      <c r="D60" s="244"/>
      <c r="E60" s="244"/>
      <c r="F60" s="244"/>
      <c r="G60" s="244"/>
      <c r="H60" s="244"/>
      <c r="I60" s="244"/>
      <c r="J60" s="244"/>
      <c r="K60" s="244"/>
      <c r="L60" s="244"/>
      <c r="M60" s="244"/>
      <c r="N60" s="244"/>
      <c r="O60" s="244"/>
      <c r="P60" s="244"/>
      <c r="Q60" s="244"/>
      <c r="R60" s="24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/>
  <dimension ref="B2:V82"/>
  <sheetViews>
    <sheetView zoomScale="60" zoomScaleNormal="60" workbookViewId="0"/>
  </sheetViews>
  <sheetFormatPr defaultColWidth="9.140625" defaultRowHeight="15" x14ac:dyDescent="0.25"/>
  <cols>
    <col min="1" max="1" width="2" style="187" customWidth="1"/>
    <col min="2" max="2" width="22.28515625" style="187" bestFit="1" customWidth="1"/>
    <col min="3" max="3" width="20.28515625" style="187" customWidth="1"/>
    <col min="4" max="4" width="10.5703125" style="187" bestFit="1" customWidth="1"/>
    <col min="5" max="5" width="6.28515625" style="187" customWidth="1"/>
    <col min="6" max="6" width="18.28515625" style="187" customWidth="1"/>
    <col min="7" max="7" width="20.28515625" style="187" bestFit="1" customWidth="1"/>
    <col min="8" max="8" width="9.85546875" style="187" bestFit="1" customWidth="1"/>
    <col min="9" max="9" width="6.5703125" style="187" bestFit="1" customWidth="1"/>
    <col min="10" max="10" width="18.7109375" style="187" customWidth="1"/>
    <col min="11" max="11" width="20.28515625" style="187" bestFit="1" customWidth="1"/>
    <col min="12" max="12" width="8.85546875" style="187" bestFit="1" customWidth="1"/>
    <col min="13" max="13" width="6.5703125" style="187" bestFit="1" customWidth="1"/>
    <col min="14" max="14" width="18.42578125" style="187" customWidth="1"/>
    <col min="15" max="15" width="20.28515625" style="187" bestFit="1" customWidth="1"/>
    <col min="16" max="16" width="8.85546875" style="187" bestFit="1" customWidth="1"/>
    <col min="17" max="17" width="6.5703125" style="187" bestFit="1" customWidth="1"/>
    <col min="18" max="18" width="16.5703125" style="187" bestFit="1" customWidth="1"/>
    <col min="19" max="19" width="20.28515625" style="187" bestFit="1" customWidth="1"/>
    <col min="20" max="20" width="7.5703125" style="187" bestFit="1" customWidth="1"/>
    <col min="21" max="16384" width="9.140625" style="187"/>
  </cols>
  <sheetData>
    <row r="2" spans="2:22" x14ac:dyDescent="0.25">
      <c r="B2" s="186" t="s">
        <v>2</v>
      </c>
      <c r="C2" s="44" t="s">
        <v>234</v>
      </c>
      <c r="D2" s="182"/>
      <c r="E2" s="182"/>
      <c r="F2" s="182"/>
      <c r="G2" s="182"/>
      <c r="H2" s="182"/>
      <c r="I2" s="182"/>
      <c r="J2" s="182"/>
      <c r="K2" s="182"/>
      <c r="P2" s="182"/>
      <c r="Q2" s="196"/>
      <c r="R2" s="182"/>
      <c r="T2" s="182"/>
      <c r="U2" s="170"/>
      <c r="V2" s="170"/>
    </row>
    <row r="3" spans="2:22" x14ac:dyDescent="0.25">
      <c r="B3" s="198" t="s">
        <v>40</v>
      </c>
      <c r="C3" s="200"/>
      <c r="D3" s="182"/>
      <c r="E3" s="182"/>
      <c r="F3" s="198" t="s">
        <v>41</v>
      </c>
      <c r="G3" s="200"/>
      <c r="H3" s="182"/>
      <c r="I3" s="182"/>
      <c r="J3" s="198" t="s">
        <v>42</v>
      </c>
      <c r="K3" s="200"/>
      <c r="L3" s="182"/>
      <c r="M3" s="182"/>
      <c r="N3" s="198" t="s">
        <v>43</v>
      </c>
      <c r="O3" s="200"/>
      <c r="P3" s="182"/>
      <c r="Q3" s="182"/>
      <c r="R3" s="198" t="s">
        <v>38</v>
      </c>
      <c r="S3" s="200"/>
      <c r="T3" s="182"/>
      <c r="U3" s="170"/>
      <c r="V3" s="170"/>
    </row>
    <row r="4" spans="2:22" x14ac:dyDescent="0.25">
      <c r="B4" s="4" t="s">
        <v>4</v>
      </c>
      <c r="C4" s="5" t="s">
        <v>230</v>
      </c>
      <c r="D4" s="40" t="s">
        <v>35</v>
      </c>
      <c r="E4" s="33"/>
      <c r="F4" s="4" t="s">
        <v>4</v>
      </c>
      <c r="G4" s="5" t="s">
        <v>230</v>
      </c>
      <c r="H4" s="40" t="s">
        <v>35</v>
      </c>
      <c r="I4" s="33"/>
      <c r="J4" s="4" t="s">
        <v>4</v>
      </c>
      <c r="K4" s="5" t="s">
        <v>230</v>
      </c>
      <c r="L4" s="40" t="s">
        <v>35</v>
      </c>
      <c r="M4" s="33"/>
      <c r="N4" s="4" t="s">
        <v>4</v>
      </c>
      <c r="O4" s="5" t="s">
        <v>230</v>
      </c>
      <c r="P4" s="40" t="s">
        <v>35</v>
      </c>
      <c r="Q4" s="33"/>
      <c r="R4" s="4" t="s">
        <v>4</v>
      </c>
      <c r="S4" s="5" t="s">
        <v>230</v>
      </c>
      <c r="T4" s="40" t="s">
        <v>35</v>
      </c>
      <c r="U4" s="170"/>
      <c r="V4" s="170"/>
    </row>
    <row r="5" spans="2:22" x14ac:dyDescent="0.25">
      <c r="B5" s="39"/>
      <c r="C5" s="166" t="s">
        <v>5</v>
      </c>
      <c r="D5" s="38">
        <v>58.27</v>
      </c>
      <c r="E5" s="33"/>
      <c r="F5" s="39"/>
      <c r="G5" s="166" t="s">
        <v>5</v>
      </c>
      <c r="H5" s="38">
        <v>55.59</v>
      </c>
      <c r="I5" s="33"/>
      <c r="J5" s="39"/>
      <c r="K5" s="166" t="s">
        <v>5</v>
      </c>
      <c r="L5" s="38">
        <v>45.31</v>
      </c>
      <c r="M5" s="33"/>
      <c r="N5" s="39"/>
      <c r="O5" s="166" t="s">
        <v>5</v>
      </c>
      <c r="P5" s="38">
        <v>24.24</v>
      </c>
      <c r="Q5" s="33"/>
      <c r="R5" s="39"/>
      <c r="S5" s="166" t="s">
        <v>5</v>
      </c>
      <c r="T5" s="38">
        <v>3.89</v>
      </c>
      <c r="U5" s="170"/>
      <c r="V5" s="170"/>
    </row>
    <row r="6" spans="2:22" x14ac:dyDescent="0.25">
      <c r="B6" s="36"/>
      <c r="C6" s="168" t="s">
        <v>6</v>
      </c>
      <c r="D6" s="35">
        <v>54.52</v>
      </c>
      <c r="E6" s="33"/>
      <c r="F6" s="36"/>
      <c r="G6" s="168" t="s">
        <v>6</v>
      </c>
      <c r="H6" s="35">
        <v>49.13</v>
      </c>
      <c r="I6" s="33"/>
      <c r="J6" s="36"/>
      <c r="K6" s="168" t="s">
        <v>6</v>
      </c>
      <c r="L6" s="35">
        <v>37.340000000000003</v>
      </c>
      <c r="M6" s="33"/>
      <c r="N6" s="36"/>
      <c r="O6" s="168" t="s">
        <v>6</v>
      </c>
      <c r="P6" s="35">
        <v>10.59</v>
      </c>
      <c r="Q6" s="33"/>
      <c r="R6" s="36"/>
      <c r="S6" s="168" t="s">
        <v>6</v>
      </c>
      <c r="T6" s="35">
        <v>1.96</v>
      </c>
      <c r="U6" s="170"/>
      <c r="V6" s="170"/>
    </row>
    <row r="7" spans="2:22" x14ac:dyDescent="0.25">
      <c r="B7" s="36"/>
      <c r="C7" s="168" t="s">
        <v>7</v>
      </c>
      <c r="D7" s="35">
        <v>24.42</v>
      </c>
      <c r="E7" s="33"/>
      <c r="F7" s="36"/>
      <c r="G7" s="168" t="s">
        <v>7</v>
      </c>
      <c r="H7" s="35">
        <v>19.07</v>
      </c>
      <c r="I7" s="33"/>
      <c r="J7" s="36"/>
      <c r="K7" s="168" t="s">
        <v>7</v>
      </c>
      <c r="L7" s="35">
        <v>10.08</v>
      </c>
      <c r="M7" s="33"/>
      <c r="N7" s="36"/>
      <c r="O7" s="168" t="s">
        <v>7</v>
      </c>
      <c r="P7" s="35">
        <v>10.59</v>
      </c>
      <c r="Q7" s="33"/>
      <c r="R7" s="36"/>
      <c r="S7" s="168" t="s">
        <v>7</v>
      </c>
      <c r="T7" s="35">
        <v>1.95</v>
      </c>
      <c r="U7" s="170"/>
      <c r="V7" s="170"/>
    </row>
    <row r="8" spans="2:22" x14ac:dyDescent="0.25">
      <c r="B8" s="36"/>
      <c r="C8" s="168" t="s">
        <v>8</v>
      </c>
      <c r="D8" s="35">
        <v>29.45</v>
      </c>
      <c r="E8" s="33"/>
      <c r="F8" s="36"/>
      <c r="G8" s="168" t="s">
        <v>8</v>
      </c>
      <c r="H8" s="35">
        <v>25.71</v>
      </c>
      <c r="I8" s="79"/>
      <c r="J8" s="36"/>
      <c r="K8" s="168" t="s">
        <v>8</v>
      </c>
      <c r="L8" s="35">
        <v>45.31</v>
      </c>
      <c r="M8" s="33"/>
      <c r="N8" s="36"/>
      <c r="O8" s="168" t="s">
        <v>8</v>
      </c>
      <c r="P8" s="35">
        <v>61.4</v>
      </c>
      <c r="Q8" s="33"/>
      <c r="R8" s="36"/>
      <c r="S8" s="168" t="s">
        <v>8</v>
      </c>
      <c r="T8" s="35">
        <v>7.65</v>
      </c>
      <c r="U8" s="170"/>
      <c r="V8" s="63"/>
    </row>
    <row r="9" spans="2:22" x14ac:dyDescent="0.25">
      <c r="B9" s="36"/>
      <c r="C9" s="168" t="s">
        <v>14</v>
      </c>
      <c r="D9" s="35">
        <v>56.28</v>
      </c>
      <c r="E9" s="33"/>
      <c r="F9" s="36"/>
      <c r="G9" s="168" t="s">
        <v>14</v>
      </c>
      <c r="H9" s="35">
        <v>30.43</v>
      </c>
      <c r="I9" s="33"/>
      <c r="J9" s="36"/>
      <c r="K9" s="168" t="s">
        <v>14</v>
      </c>
      <c r="L9" s="37">
        <v>27.9</v>
      </c>
      <c r="M9" s="33"/>
      <c r="N9" s="36"/>
      <c r="O9" s="168" t="s">
        <v>14</v>
      </c>
      <c r="P9" s="35">
        <v>42.78</v>
      </c>
      <c r="Q9" s="33"/>
      <c r="R9" s="36"/>
      <c r="S9" s="168" t="s">
        <v>14</v>
      </c>
      <c r="T9" s="37">
        <v>2.2599999999999998</v>
      </c>
      <c r="U9" s="170"/>
      <c r="V9" s="170"/>
    </row>
    <row r="10" spans="2:22" x14ac:dyDescent="0.25">
      <c r="B10" s="36"/>
      <c r="C10" s="168" t="s">
        <v>15</v>
      </c>
      <c r="D10" s="35">
        <v>64.849999999999994</v>
      </c>
      <c r="E10" s="33"/>
      <c r="F10" s="36"/>
      <c r="G10" s="168" t="s">
        <v>15</v>
      </c>
      <c r="H10" s="35">
        <v>36.340000000000003</v>
      </c>
      <c r="I10" s="33"/>
      <c r="J10" s="36"/>
      <c r="K10" s="168" t="s">
        <v>15</v>
      </c>
      <c r="L10" s="37">
        <v>32.869999999999997</v>
      </c>
      <c r="M10" s="33"/>
      <c r="N10" s="36"/>
      <c r="O10" s="168" t="s">
        <v>15</v>
      </c>
      <c r="P10" s="35">
        <v>49.69</v>
      </c>
      <c r="Q10" s="33"/>
      <c r="R10" s="36"/>
      <c r="S10" s="168" t="s">
        <v>15</v>
      </c>
      <c r="T10" s="37">
        <v>3.89</v>
      </c>
      <c r="U10" s="170"/>
      <c r="V10" s="170"/>
    </row>
    <row r="11" spans="2:22" x14ac:dyDescent="0.25">
      <c r="B11" s="36"/>
      <c r="C11" s="168" t="s">
        <v>19</v>
      </c>
      <c r="D11" s="35">
        <v>28.09</v>
      </c>
      <c r="E11" s="33"/>
      <c r="F11" s="36"/>
      <c r="G11" s="168" t="s">
        <v>19</v>
      </c>
      <c r="H11" s="35">
        <v>12.59</v>
      </c>
      <c r="I11" s="33"/>
      <c r="J11" s="36"/>
      <c r="K11" s="168" t="s">
        <v>19</v>
      </c>
      <c r="L11" s="37">
        <v>10.08</v>
      </c>
      <c r="M11" s="33"/>
      <c r="N11" s="36"/>
      <c r="O11" s="168" t="s">
        <v>19</v>
      </c>
      <c r="P11" s="35">
        <v>34.659999999999997</v>
      </c>
      <c r="Q11" s="33"/>
      <c r="R11" s="36"/>
      <c r="S11" s="168" t="s">
        <v>19</v>
      </c>
      <c r="T11" s="37">
        <v>1.95</v>
      </c>
      <c r="U11" s="170"/>
      <c r="V11" s="170"/>
    </row>
    <row r="12" spans="2:22" x14ac:dyDescent="0.25">
      <c r="B12" s="36"/>
      <c r="C12" s="168" t="s">
        <v>21</v>
      </c>
      <c r="D12" s="35">
        <v>26.71</v>
      </c>
      <c r="E12" s="33"/>
      <c r="F12" s="36"/>
      <c r="G12" s="168" t="s">
        <v>21</v>
      </c>
      <c r="H12" s="35">
        <v>11.84</v>
      </c>
      <c r="I12" s="33"/>
      <c r="J12" s="36"/>
      <c r="K12" s="168" t="s">
        <v>21</v>
      </c>
      <c r="L12" s="37">
        <v>10.08</v>
      </c>
      <c r="M12" s="33"/>
      <c r="N12" s="36"/>
      <c r="O12" s="168" t="s">
        <v>21</v>
      </c>
      <c r="P12" s="35">
        <v>34.659999999999997</v>
      </c>
      <c r="Q12" s="33"/>
      <c r="R12" s="36"/>
      <c r="S12" s="168" t="s">
        <v>21</v>
      </c>
      <c r="T12" s="37">
        <v>1.96</v>
      </c>
      <c r="U12" s="170"/>
      <c r="V12" s="170"/>
    </row>
    <row r="13" spans="2:22" x14ac:dyDescent="0.25">
      <c r="B13" s="36"/>
      <c r="C13" s="258"/>
      <c r="D13" s="37"/>
      <c r="E13" s="33"/>
      <c r="F13" s="36"/>
      <c r="G13" s="258"/>
      <c r="H13" s="37"/>
      <c r="I13" s="33"/>
      <c r="J13" s="36"/>
      <c r="K13" s="15"/>
      <c r="L13" s="37"/>
      <c r="M13" s="33"/>
      <c r="N13" s="36"/>
      <c r="O13" s="15"/>
      <c r="P13" s="37"/>
      <c r="Q13" s="33"/>
      <c r="R13" s="36"/>
      <c r="S13" s="15"/>
      <c r="T13" s="37"/>
      <c r="U13" s="170"/>
      <c r="V13" s="170"/>
    </row>
    <row r="14" spans="2:22" x14ac:dyDescent="0.25">
      <c r="B14" s="36"/>
      <c r="C14" s="16" t="s">
        <v>56</v>
      </c>
      <c r="D14" s="24">
        <f>AVERAGE(D5:D12)</f>
        <v>42.82374999999999</v>
      </c>
      <c r="E14" s="362"/>
      <c r="F14" s="442"/>
      <c r="G14" s="16" t="s">
        <v>56</v>
      </c>
      <c r="H14" s="24">
        <f>AVERAGE(H5:H12)</f>
        <v>30.087500000000002</v>
      </c>
      <c r="I14" s="362"/>
      <c r="J14" s="442"/>
      <c r="K14" s="16" t="s">
        <v>56</v>
      </c>
      <c r="L14" s="24">
        <f>AVERAGE(L5:L12)</f>
        <v>27.371250000000007</v>
      </c>
      <c r="M14" s="362"/>
      <c r="N14" s="442"/>
      <c r="O14" s="16" t="s">
        <v>56</v>
      </c>
      <c r="P14" s="24">
        <f>AVERAGE(P5:P12)</f>
        <v>33.576250000000002</v>
      </c>
      <c r="Q14" s="362"/>
      <c r="R14" s="442"/>
      <c r="S14" s="16" t="s">
        <v>56</v>
      </c>
      <c r="T14" s="24">
        <f>AVERAGE(T5:T12)</f>
        <v>3.1887500000000002</v>
      </c>
      <c r="U14" s="170"/>
      <c r="V14" s="170"/>
    </row>
    <row r="15" spans="2:22" x14ac:dyDescent="0.25">
      <c r="B15" s="169"/>
      <c r="C15" s="55" t="s">
        <v>22</v>
      </c>
      <c r="D15" s="23">
        <f>_xlfn.STDEV.S(D5:D12)</f>
        <v>17.054143976925825</v>
      </c>
      <c r="E15" s="362"/>
      <c r="F15" s="443"/>
      <c r="G15" s="55" t="s">
        <v>22</v>
      </c>
      <c r="H15" s="23">
        <f>_xlfn.STDEV.S(H5:H12)</f>
        <v>16.177086749915318</v>
      </c>
      <c r="I15" s="362"/>
      <c r="J15" s="443"/>
      <c r="K15" s="55" t="s">
        <v>22</v>
      </c>
      <c r="L15" s="23">
        <f>_xlfn.STDEV.S(L5:L12)</f>
        <v>15.44784445203554</v>
      </c>
      <c r="M15" s="362"/>
      <c r="N15" s="443"/>
      <c r="O15" s="55" t="s">
        <v>22</v>
      </c>
      <c r="P15" s="23">
        <f>_xlfn.STDEV.S(P5:P12)</f>
        <v>17.987189836499905</v>
      </c>
      <c r="Q15" s="362"/>
      <c r="R15" s="443"/>
      <c r="S15" s="55" t="s">
        <v>22</v>
      </c>
      <c r="T15" s="23">
        <f>_xlfn.STDEV.S(T5:T12)</f>
        <v>1.9941875359582983</v>
      </c>
      <c r="U15" s="170"/>
      <c r="V15" s="170"/>
    </row>
    <row r="16" spans="2:22" x14ac:dyDescent="0.25">
      <c r="B16" s="4" t="s">
        <v>25</v>
      </c>
      <c r="C16" s="5" t="s">
        <v>230</v>
      </c>
      <c r="D16" s="40" t="s">
        <v>35</v>
      </c>
      <c r="E16" s="33"/>
      <c r="F16" s="4" t="s">
        <v>25</v>
      </c>
      <c r="G16" s="5" t="s">
        <v>230</v>
      </c>
      <c r="H16" s="40" t="s">
        <v>35</v>
      </c>
      <c r="I16" s="33"/>
      <c r="J16" s="4" t="s">
        <v>25</v>
      </c>
      <c r="K16" s="5" t="s">
        <v>230</v>
      </c>
      <c r="L16" s="40" t="s">
        <v>35</v>
      </c>
      <c r="M16" s="33"/>
      <c r="N16" s="4" t="s">
        <v>25</v>
      </c>
      <c r="O16" s="5" t="s">
        <v>230</v>
      </c>
      <c r="P16" s="40" t="s">
        <v>35</v>
      </c>
      <c r="Q16" s="33"/>
      <c r="R16" s="4" t="s">
        <v>25</v>
      </c>
      <c r="S16" s="5" t="s">
        <v>230</v>
      </c>
      <c r="T16" s="40" t="s">
        <v>35</v>
      </c>
      <c r="U16" s="170"/>
      <c r="V16" s="170"/>
    </row>
    <row r="17" spans="2:22" x14ac:dyDescent="0.25">
      <c r="B17" s="39"/>
      <c r="C17" s="166" t="s">
        <v>5</v>
      </c>
      <c r="D17" s="38">
        <v>120.71</v>
      </c>
      <c r="E17" s="33"/>
      <c r="F17" s="39"/>
      <c r="G17" s="166" t="s">
        <v>5</v>
      </c>
      <c r="H17" s="167">
        <v>195.64</v>
      </c>
      <c r="I17" s="33"/>
      <c r="J17" s="39"/>
      <c r="K17" s="166" t="s">
        <v>5</v>
      </c>
      <c r="L17" s="167">
        <v>83.14</v>
      </c>
      <c r="M17" s="33"/>
      <c r="N17" s="39"/>
      <c r="O17" s="166" t="s">
        <v>5</v>
      </c>
      <c r="P17" s="38">
        <v>115.31</v>
      </c>
      <c r="Q17" s="33"/>
      <c r="R17" s="39"/>
      <c r="S17" s="166" t="s">
        <v>5</v>
      </c>
      <c r="T17" s="38">
        <v>3.21</v>
      </c>
      <c r="U17" s="170"/>
      <c r="V17" s="170"/>
    </row>
    <row r="18" spans="2:22" x14ac:dyDescent="0.25">
      <c r="B18" s="36"/>
      <c r="C18" s="168" t="s">
        <v>6</v>
      </c>
      <c r="D18" s="35">
        <v>131.88999999999999</v>
      </c>
      <c r="E18" s="33"/>
      <c r="F18" s="36"/>
      <c r="G18" s="168" t="s">
        <v>6</v>
      </c>
      <c r="H18" s="37">
        <v>208.8</v>
      </c>
      <c r="I18" s="33"/>
      <c r="J18" s="36"/>
      <c r="K18" s="168" t="s">
        <v>6</v>
      </c>
      <c r="L18" s="37">
        <v>83.14</v>
      </c>
      <c r="M18" s="33"/>
      <c r="N18" s="36"/>
      <c r="O18" s="168" t="s">
        <v>6</v>
      </c>
      <c r="P18" s="35">
        <v>115.31</v>
      </c>
      <c r="Q18" s="33"/>
      <c r="R18" s="36"/>
      <c r="S18" s="168" t="s">
        <v>6</v>
      </c>
      <c r="T18" s="35">
        <v>2.56</v>
      </c>
      <c r="U18" s="170"/>
      <c r="V18" s="170"/>
    </row>
    <row r="19" spans="2:22" x14ac:dyDescent="0.25">
      <c r="B19" s="36"/>
      <c r="C19" s="168" t="s">
        <v>7</v>
      </c>
      <c r="D19" s="35">
        <v>57.83</v>
      </c>
      <c r="E19" s="33"/>
      <c r="F19" s="36"/>
      <c r="G19" s="168" t="s">
        <v>7</v>
      </c>
      <c r="H19" s="37">
        <v>89.15</v>
      </c>
      <c r="I19" s="33"/>
      <c r="J19" s="36"/>
      <c r="K19" s="168" t="s">
        <v>7</v>
      </c>
      <c r="L19" s="37">
        <v>32.869999999999997</v>
      </c>
      <c r="M19" s="33"/>
      <c r="N19" s="36"/>
      <c r="O19" s="168" t="s">
        <v>7</v>
      </c>
      <c r="P19" s="35">
        <v>49.69</v>
      </c>
      <c r="Q19" s="33"/>
      <c r="R19" s="36"/>
      <c r="S19" s="168" t="s">
        <v>7</v>
      </c>
      <c r="T19" s="35">
        <v>1.96</v>
      </c>
      <c r="U19" s="170"/>
      <c r="V19" s="170"/>
    </row>
    <row r="20" spans="2:22" x14ac:dyDescent="0.25">
      <c r="B20" s="36"/>
      <c r="C20" s="168" t="s">
        <v>8</v>
      </c>
      <c r="D20" s="35">
        <v>80.12</v>
      </c>
      <c r="E20" s="33"/>
      <c r="F20" s="36"/>
      <c r="G20" s="168" t="s">
        <v>8</v>
      </c>
      <c r="H20" s="37">
        <v>119.33</v>
      </c>
      <c r="I20" s="33"/>
      <c r="J20" s="36"/>
      <c r="K20" s="168" t="s">
        <v>8</v>
      </c>
      <c r="L20" s="37">
        <v>61.84</v>
      </c>
      <c r="M20" s="33"/>
      <c r="N20" s="36"/>
      <c r="O20" s="168" t="s">
        <v>8</v>
      </c>
      <c r="P20" s="35">
        <v>88.23</v>
      </c>
      <c r="Q20" s="33"/>
      <c r="R20" s="36"/>
      <c r="S20" s="168" t="s">
        <v>8</v>
      </c>
      <c r="T20" s="35">
        <v>6.86</v>
      </c>
      <c r="U20" s="170"/>
      <c r="V20" s="170"/>
    </row>
    <row r="21" spans="2:22" x14ac:dyDescent="0.25">
      <c r="B21" s="36"/>
      <c r="C21" s="168" t="s">
        <v>14</v>
      </c>
      <c r="D21" s="35">
        <v>213.11</v>
      </c>
      <c r="E21" s="33"/>
      <c r="F21" s="36"/>
      <c r="G21" s="168" t="s">
        <v>14</v>
      </c>
      <c r="H21" s="37">
        <v>579.14</v>
      </c>
      <c r="I21" s="33"/>
      <c r="J21" s="36"/>
      <c r="K21" s="168" t="s">
        <v>14</v>
      </c>
      <c r="L21" s="37">
        <v>138.36000000000001</v>
      </c>
      <c r="M21" s="33"/>
      <c r="N21" s="36"/>
      <c r="O21" s="168" t="s">
        <v>14</v>
      </c>
      <c r="P21" s="35">
        <v>394.85</v>
      </c>
      <c r="Q21" s="33"/>
      <c r="R21" s="36"/>
      <c r="S21" s="168" t="s">
        <v>14</v>
      </c>
      <c r="T21" s="37">
        <v>6.09</v>
      </c>
      <c r="U21" s="170"/>
      <c r="V21" s="170"/>
    </row>
    <row r="22" spans="2:22" x14ac:dyDescent="0.25">
      <c r="B22" s="36"/>
      <c r="C22" s="168" t="s">
        <v>15</v>
      </c>
      <c r="D22" s="35">
        <v>206.49</v>
      </c>
      <c r="E22" s="33"/>
      <c r="F22" s="36"/>
      <c r="G22" s="168" t="s">
        <v>15</v>
      </c>
      <c r="H22" s="35">
        <v>553.6</v>
      </c>
      <c r="I22" s="79"/>
      <c r="J22" s="36"/>
      <c r="K22" s="168" t="s">
        <v>15</v>
      </c>
      <c r="L22" s="37">
        <v>136.66999999999999</v>
      </c>
      <c r="M22" s="33"/>
      <c r="N22" s="36"/>
      <c r="O22" s="168" t="s">
        <v>15</v>
      </c>
      <c r="P22" s="35">
        <v>390.73</v>
      </c>
      <c r="Q22" s="33"/>
      <c r="R22" s="36"/>
      <c r="S22" s="168" t="s">
        <v>15</v>
      </c>
      <c r="T22" s="37">
        <v>10.1</v>
      </c>
      <c r="U22" s="170"/>
      <c r="V22" s="170"/>
    </row>
    <row r="23" spans="2:22" x14ac:dyDescent="0.25">
      <c r="B23" s="36"/>
      <c r="C23" s="168" t="s">
        <v>19</v>
      </c>
      <c r="D23" s="35">
        <v>104.78</v>
      </c>
      <c r="E23" s="33"/>
      <c r="F23" s="36"/>
      <c r="G23" s="168" t="s">
        <v>19</v>
      </c>
      <c r="H23" s="35">
        <v>254.81</v>
      </c>
      <c r="I23" s="79"/>
      <c r="J23" s="36"/>
      <c r="K23" s="168" t="s">
        <v>19</v>
      </c>
      <c r="L23" s="37">
        <v>67.61</v>
      </c>
      <c r="M23" s="33"/>
      <c r="N23" s="36"/>
      <c r="O23" s="168" t="s">
        <v>19</v>
      </c>
      <c r="P23" s="35">
        <v>180.61</v>
      </c>
      <c r="Q23" s="33"/>
      <c r="R23" s="36"/>
      <c r="S23" s="168" t="s">
        <v>19</v>
      </c>
      <c r="T23" s="37">
        <v>6.86</v>
      </c>
      <c r="U23" s="170"/>
      <c r="V23" s="170"/>
    </row>
    <row r="24" spans="2:22" x14ac:dyDescent="0.25">
      <c r="B24" s="36"/>
      <c r="C24" s="168" t="s">
        <v>21</v>
      </c>
      <c r="D24" s="35">
        <v>104.56</v>
      </c>
      <c r="E24" s="33"/>
      <c r="F24" s="36"/>
      <c r="G24" s="168" t="s">
        <v>21</v>
      </c>
      <c r="H24" s="35">
        <v>243.22</v>
      </c>
      <c r="I24" s="79"/>
      <c r="J24" s="36"/>
      <c r="K24" s="168" t="s">
        <v>21</v>
      </c>
      <c r="L24" s="37">
        <v>64.77</v>
      </c>
      <c r="M24" s="33"/>
      <c r="N24" s="36"/>
      <c r="O24" s="168" t="s">
        <v>21</v>
      </c>
      <c r="P24" s="35">
        <v>174.45</v>
      </c>
      <c r="Q24" s="33"/>
      <c r="R24" s="36"/>
      <c r="S24" s="168" t="s">
        <v>21</v>
      </c>
      <c r="T24" s="37">
        <v>6.09</v>
      </c>
      <c r="U24" s="170"/>
      <c r="V24" s="170"/>
    </row>
    <row r="25" spans="2:22" x14ac:dyDescent="0.25">
      <c r="B25" s="36"/>
      <c r="C25" s="258"/>
      <c r="D25" s="37"/>
      <c r="E25" s="33"/>
      <c r="F25" s="36"/>
      <c r="G25" s="258"/>
      <c r="H25" s="37"/>
      <c r="I25" s="33"/>
      <c r="J25" s="36"/>
      <c r="K25" s="15"/>
      <c r="L25" s="37"/>
      <c r="M25" s="33"/>
      <c r="N25" s="36"/>
      <c r="O25" s="15"/>
      <c r="P25" s="37"/>
      <c r="Q25" s="33"/>
      <c r="R25" s="36"/>
      <c r="S25" s="15"/>
      <c r="T25" s="37"/>
      <c r="U25" s="170"/>
      <c r="V25" s="170"/>
    </row>
    <row r="26" spans="2:22" x14ac:dyDescent="0.25">
      <c r="B26" s="36"/>
      <c r="C26" s="16" t="s">
        <v>56</v>
      </c>
      <c r="D26" s="24">
        <f>AVERAGE(D17:D24)</f>
        <v>127.43625</v>
      </c>
      <c r="E26" s="362"/>
      <c r="F26" s="442"/>
      <c r="G26" s="16" t="s">
        <v>56</v>
      </c>
      <c r="H26" s="24">
        <f>AVERAGE(H17:H24)</f>
        <v>280.46124999999995</v>
      </c>
      <c r="I26" s="362"/>
      <c r="J26" s="442"/>
      <c r="K26" s="16" t="s">
        <v>56</v>
      </c>
      <c r="L26" s="24">
        <f>AVERAGE(L17:L24)</f>
        <v>83.55</v>
      </c>
      <c r="M26" s="362"/>
      <c r="N26" s="442"/>
      <c r="O26" s="16" t="s">
        <v>56</v>
      </c>
      <c r="P26" s="24">
        <f>AVERAGE(P17:P24)</f>
        <v>188.64750000000001</v>
      </c>
      <c r="Q26" s="362"/>
      <c r="R26" s="442"/>
      <c r="S26" s="16" t="s">
        <v>56</v>
      </c>
      <c r="T26" s="24">
        <f>AVERAGE(T17:T24)</f>
        <v>5.4662500000000005</v>
      </c>
      <c r="U26" s="170"/>
      <c r="V26" s="170"/>
    </row>
    <row r="27" spans="2:22" x14ac:dyDescent="0.25">
      <c r="B27" s="169"/>
      <c r="C27" s="55" t="s">
        <v>22</v>
      </c>
      <c r="D27" s="23">
        <f>_xlfn.STDEV.S(D17:D24)</f>
        <v>55.773843315789925</v>
      </c>
      <c r="E27" s="362"/>
      <c r="F27" s="443"/>
      <c r="G27" s="55" t="s">
        <v>22</v>
      </c>
      <c r="H27" s="23">
        <f>_xlfn.STDEV.S(H17:H24)</f>
        <v>185.4538537470788</v>
      </c>
      <c r="I27" s="362"/>
      <c r="J27" s="443"/>
      <c r="K27" s="55" t="s">
        <v>22</v>
      </c>
      <c r="L27" s="23">
        <f>_xlfn.STDEV.S(L17:L24)</f>
        <v>36.786575967716423</v>
      </c>
      <c r="M27" s="362"/>
      <c r="N27" s="443"/>
      <c r="O27" s="55" t="s">
        <v>22</v>
      </c>
      <c r="P27" s="23">
        <f>_xlfn.STDEV.S(P17:P24)</f>
        <v>132.97293878831135</v>
      </c>
      <c r="Q27" s="362"/>
      <c r="R27" s="443"/>
      <c r="S27" s="55" t="s">
        <v>22</v>
      </c>
      <c r="T27" s="23">
        <f>_xlfn.STDEV.S(T17:T24)</f>
        <v>2.7246385736722685</v>
      </c>
      <c r="U27" s="170"/>
      <c r="V27" s="170"/>
    </row>
    <row r="28" spans="2:22" x14ac:dyDescent="0.25">
      <c r="B28" s="4" t="s">
        <v>36</v>
      </c>
      <c r="C28" s="5" t="s">
        <v>230</v>
      </c>
      <c r="D28" s="40" t="s">
        <v>35</v>
      </c>
      <c r="E28" s="33"/>
      <c r="F28" s="4" t="s">
        <v>36</v>
      </c>
      <c r="G28" s="5" t="s">
        <v>230</v>
      </c>
      <c r="H28" s="40" t="s">
        <v>35</v>
      </c>
      <c r="I28" s="33"/>
      <c r="J28" s="4" t="s">
        <v>36</v>
      </c>
      <c r="K28" s="5" t="s">
        <v>230</v>
      </c>
      <c r="L28" s="40" t="s">
        <v>35</v>
      </c>
      <c r="M28" s="33"/>
      <c r="N28" s="4" t="s">
        <v>36</v>
      </c>
      <c r="O28" s="5" t="s">
        <v>230</v>
      </c>
      <c r="P28" s="40" t="s">
        <v>35</v>
      </c>
      <c r="Q28" s="33"/>
      <c r="R28" s="4" t="s">
        <v>36</v>
      </c>
      <c r="S28" s="5" t="s">
        <v>230</v>
      </c>
      <c r="T28" s="40" t="s">
        <v>35</v>
      </c>
      <c r="U28" s="170"/>
      <c r="V28" s="170"/>
    </row>
    <row r="29" spans="2:22" x14ac:dyDescent="0.25">
      <c r="B29" s="39"/>
      <c r="C29" s="166" t="s">
        <v>5</v>
      </c>
      <c r="D29" s="38">
        <v>454.34</v>
      </c>
      <c r="E29" s="33"/>
      <c r="F29" s="39"/>
      <c r="G29" s="166" t="s">
        <v>5</v>
      </c>
      <c r="H29" s="167">
        <v>825.33</v>
      </c>
      <c r="I29" s="33"/>
      <c r="J29" s="39"/>
      <c r="K29" s="166" t="s">
        <v>5</v>
      </c>
      <c r="L29" s="167">
        <v>288.41000000000003</v>
      </c>
      <c r="M29" s="33"/>
      <c r="N29" s="39"/>
      <c r="O29" s="166" t="s">
        <v>5</v>
      </c>
      <c r="P29" s="38">
        <v>1025</v>
      </c>
      <c r="Q29" s="33"/>
      <c r="R29" s="39"/>
      <c r="S29" s="166" t="s">
        <v>5</v>
      </c>
      <c r="T29" s="38">
        <v>7.65</v>
      </c>
      <c r="U29" s="170"/>
      <c r="V29" s="170"/>
    </row>
    <row r="30" spans="2:22" x14ac:dyDescent="0.25">
      <c r="B30" s="36"/>
      <c r="C30" s="168" t="s">
        <v>6</v>
      </c>
      <c r="D30" s="35">
        <v>368.83</v>
      </c>
      <c r="E30" s="33"/>
      <c r="F30" s="36"/>
      <c r="G30" s="168" t="s">
        <v>6</v>
      </c>
      <c r="H30" s="37">
        <v>702.97</v>
      </c>
      <c r="I30" s="33"/>
      <c r="J30" s="36"/>
      <c r="K30" s="168" t="s">
        <v>6</v>
      </c>
      <c r="L30" s="37">
        <v>261.17</v>
      </c>
      <c r="M30" s="33"/>
      <c r="N30" s="36"/>
      <c r="O30" s="168" t="s">
        <v>6</v>
      </c>
      <c r="P30" s="35">
        <v>931.87</v>
      </c>
      <c r="Q30" s="33"/>
      <c r="R30" s="36"/>
      <c r="S30" s="168" t="s">
        <v>6</v>
      </c>
      <c r="T30" s="35">
        <v>6.09</v>
      </c>
      <c r="U30" s="170"/>
      <c r="V30" s="170"/>
    </row>
    <row r="31" spans="2:22" x14ac:dyDescent="0.25">
      <c r="B31" s="36"/>
      <c r="C31" s="168" t="s">
        <v>7</v>
      </c>
      <c r="D31" s="35">
        <v>234.59</v>
      </c>
      <c r="E31" s="33"/>
      <c r="F31" s="36"/>
      <c r="G31" s="168" t="s">
        <v>7</v>
      </c>
      <c r="H31" s="37">
        <v>362.92</v>
      </c>
      <c r="I31" s="33"/>
      <c r="J31" s="36"/>
      <c r="K31" s="168" t="s">
        <v>7</v>
      </c>
      <c r="L31" s="37">
        <v>124.41</v>
      </c>
      <c r="M31" s="33"/>
      <c r="N31" s="36"/>
      <c r="O31" s="168" t="s">
        <v>7</v>
      </c>
      <c r="P31" s="35">
        <v>402.97</v>
      </c>
      <c r="Q31" s="33"/>
      <c r="R31" s="36"/>
      <c r="S31" s="168" t="s">
        <v>7</v>
      </c>
      <c r="T31" s="35">
        <v>6.09</v>
      </c>
      <c r="U31" s="170"/>
      <c r="V31" s="170"/>
    </row>
    <row r="32" spans="2:22" x14ac:dyDescent="0.25">
      <c r="B32" s="36"/>
      <c r="C32" s="168" t="s">
        <v>8</v>
      </c>
      <c r="D32" s="35">
        <v>207.57</v>
      </c>
      <c r="E32" s="33"/>
      <c r="F32" s="36"/>
      <c r="G32" s="168" t="s">
        <v>8</v>
      </c>
      <c r="H32" s="37">
        <v>340</v>
      </c>
      <c r="I32" s="33"/>
      <c r="J32" s="36"/>
      <c r="K32" s="168" t="s">
        <v>8</v>
      </c>
      <c r="L32" s="37">
        <v>120.75</v>
      </c>
      <c r="M32" s="33"/>
      <c r="N32" s="36"/>
      <c r="O32" s="168" t="s">
        <v>8</v>
      </c>
      <c r="P32" s="35">
        <v>393.82</v>
      </c>
      <c r="Q32" s="33"/>
      <c r="R32" s="36"/>
      <c r="S32" s="168" t="s">
        <v>8</v>
      </c>
      <c r="T32" s="35">
        <v>6.86</v>
      </c>
      <c r="U32" s="170"/>
      <c r="V32" s="170"/>
    </row>
    <row r="33" spans="2:22" x14ac:dyDescent="0.25">
      <c r="B33" s="36"/>
      <c r="C33" s="168" t="s">
        <v>14</v>
      </c>
      <c r="D33" s="35">
        <v>285.56</v>
      </c>
      <c r="E33" s="33"/>
      <c r="F33" s="36"/>
      <c r="G33" s="168" t="s">
        <v>14</v>
      </c>
      <c r="H33" s="37">
        <v>374.37</v>
      </c>
      <c r="I33" s="33"/>
      <c r="J33" s="36"/>
      <c r="K33" s="168" t="s">
        <v>14</v>
      </c>
      <c r="L33" s="37">
        <v>138.36000000000001</v>
      </c>
      <c r="M33" s="33"/>
      <c r="N33" s="36"/>
      <c r="O33" s="168" t="s">
        <v>14</v>
      </c>
      <c r="P33" s="35">
        <v>610.23</v>
      </c>
      <c r="Q33" s="33"/>
      <c r="R33" s="36"/>
      <c r="S33" s="168" t="s">
        <v>14</v>
      </c>
      <c r="T33" s="37">
        <v>9.27</v>
      </c>
      <c r="U33" s="170"/>
      <c r="V33" s="170"/>
    </row>
    <row r="34" spans="2:22" x14ac:dyDescent="0.25">
      <c r="B34" s="36"/>
      <c r="C34" s="168" t="s">
        <v>15</v>
      </c>
      <c r="D34" s="35">
        <v>311.89</v>
      </c>
      <c r="E34" s="33"/>
      <c r="F34" s="36"/>
      <c r="G34" s="168" t="s">
        <v>15</v>
      </c>
      <c r="H34" s="35">
        <v>396.56</v>
      </c>
      <c r="I34" s="79"/>
      <c r="J34" s="36"/>
      <c r="K34" s="168" t="s">
        <v>15</v>
      </c>
      <c r="L34" s="37">
        <v>138.36000000000001</v>
      </c>
      <c r="M34" s="33"/>
      <c r="N34" s="36"/>
      <c r="O34" s="168" t="s">
        <v>15</v>
      </c>
      <c r="P34" s="35">
        <v>656.84</v>
      </c>
      <c r="Q34" s="33"/>
      <c r="R34" s="36"/>
      <c r="S34" s="168" t="s">
        <v>15</v>
      </c>
      <c r="T34" s="37">
        <v>12.62</v>
      </c>
      <c r="U34" s="170"/>
      <c r="V34" s="170"/>
    </row>
    <row r="35" spans="2:22" x14ac:dyDescent="0.25">
      <c r="B35" s="36"/>
      <c r="C35" s="168" t="s">
        <v>19</v>
      </c>
      <c r="D35" s="35">
        <v>164.9</v>
      </c>
      <c r="E35" s="33"/>
      <c r="F35" s="36"/>
      <c r="G35" s="168" t="s">
        <v>19</v>
      </c>
      <c r="H35" s="35">
        <v>194.91</v>
      </c>
      <c r="I35" s="79"/>
      <c r="J35" s="36"/>
      <c r="K35" s="168" t="s">
        <v>19</v>
      </c>
      <c r="L35" s="37">
        <v>73.05</v>
      </c>
      <c r="M35" s="33"/>
      <c r="N35" s="36"/>
      <c r="O35" s="168" t="s">
        <v>19</v>
      </c>
      <c r="P35" s="35">
        <v>282.85000000000002</v>
      </c>
      <c r="Q35" s="33"/>
      <c r="R35" s="36"/>
      <c r="S35" s="168" t="s">
        <v>19</v>
      </c>
      <c r="T35" s="37">
        <v>12.62</v>
      </c>
      <c r="U35" s="170"/>
      <c r="V35" s="170"/>
    </row>
    <row r="36" spans="2:22" x14ac:dyDescent="0.25">
      <c r="B36" s="36"/>
      <c r="C36" s="168" t="s">
        <v>21</v>
      </c>
      <c r="D36" s="35">
        <v>107.47</v>
      </c>
      <c r="E36" s="33"/>
      <c r="F36" s="36"/>
      <c r="G36" s="168" t="s">
        <v>21</v>
      </c>
      <c r="H36" s="35">
        <v>134.96</v>
      </c>
      <c r="I36" s="79"/>
      <c r="J36" s="36"/>
      <c r="K36" s="168" t="s">
        <v>21</v>
      </c>
      <c r="L36" s="37">
        <v>45.31</v>
      </c>
      <c r="M36" s="33"/>
      <c r="N36" s="36"/>
      <c r="O36" s="168" t="s">
        <v>21</v>
      </c>
      <c r="P36" s="35">
        <v>212.49</v>
      </c>
      <c r="Q36" s="33"/>
      <c r="R36" s="36"/>
      <c r="S36" s="168" t="s">
        <v>21</v>
      </c>
      <c r="T36" s="37">
        <v>3.21</v>
      </c>
      <c r="U36" s="170"/>
      <c r="V36" s="170"/>
    </row>
    <row r="37" spans="2:22" x14ac:dyDescent="0.25">
      <c r="B37" s="36"/>
      <c r="C37" s="70"/>
      <c r="D37" s="35"/>
      <c r="E37" s="79"/>
      <c r="F37" s="54"/>
      <c r="G37" s="70"/>
      <c r="H37" s="35"/>
      <c r="I37" s="79"/>
      <c r="J37" s="54"/>
      <c r="K37" s="70"/>
      <c r="L37" s="35"/>
      <c r="M37" s="79"/>
      <c r="N37" s="54"/>
      <c r="O37" s="70"/>
      <c r="P37" s="35"/>
      <c r="Q37" s="79"/>
      <c r="R37" s="54"/>
      <c r="S37" s="70"/>
      <c r="T37" s="35"/>
      <c r="U37" s="170"/>
      <c r="V37" s="170"/>
    </row>
    <row r="38" spans="2:22" x14ac:dyDescent="0.25">
      <c r="B38" s="36"/>
      <c r="C38" s="16" t="s">
        <v>56</v>
      </c>
      <c r="D38" s="24">
        <f>AVERAGE(D29:D36)</f>
        <v>266.89374999999995</v>
      </c>
      <c r="E38" s="362"/>
      <c r="F38" s="442"/>
      <c r="G38" s="16" t="s">
        <v>56</v>
      </c>
      <c r="H38" s="24">
        <f>AVERAGE(H29:H36)</f>
        <v>416.5025</v>
      </c>
      <c r="I38" s="362"/>
      <c r="J38" s="442"/>
      <c r="K38" s="16" t="s">
        <v>56</v>
      </c>
      <c r="L38" s="24">
        <f>AVERAGE(L29:L36)</f>
        <v>148.72749999999999</v>
      </c>
      <c r="M38" s="362"/>
      <c r="N38" s="442"/>
      <c r="O38" s="16" t="s">
        <v>56</v>
      </c>
      <c r="P38" s="24">
        <f>AVERAGE(P29:P36)</f>
        <v>564.50875000000008</v>
      </c>
      <c r="Q38" s="362"/>
      <c r="R38" s="442"/>
      <c r="S38" s="16" t="s">
        <v>56</v>
      </c>
      <c r="T38" s="24">
        <f>AVERAGE(T29:T36)</f>
        <v>8.0512499999999978</v>
      </c>
      <c r="U38" s="170"/>
      <c r="V38" s="170"/>
    </row>
    <row r="39" spans="2:22" x14ac:dyDescent="0.25">
      <c r="B39" s="169"/>
      <c r="C39" s="56" t="s">
        <v>22</v>
      </c>
      <c r="D39" s="23">
        <f>_xlfn.STDEV.S(D29:D36)</f>
        <v>112.30168793255085</v>
      </c>
      <c r="E39" s="362"/>
      <c r="F39" s="443"/>
      <c r="G39" s="56" t="s">
        <v>22</v>
      </c>
      <c r="H39" s="23">
        <f>_xlfn.STDEV.S(H29:H36)</f>
        <v>235.57514310724719</v>
      </c>
      <c r="I39" s="362"/>
      <c r="J39" s="443"/>
      <c r="K39" s="56" t="s">
        <v>22</v>
      </c>
      <c r="L39" s="23">
        <f>_xlfn.STDEV.S(L29:L36)</f>
        <v>84.655462527318875</v>
      </c>
      <c r="M39" s="362"/>
      <c r="N39" s="443"/>
      <c r="O39" s="56" t="s">
        <v>22</v>
      </c>
      <c r="P39" s="23">
        <f>_xlfn.STDEV.S(P29:P36)</f>
        <v>296.67207502259816</v>
      </c>
      <c r="Q39" s="362"/>
      <c r="R39" s="443"/>
      <c r="S39" s="56" t="s">
        <v>22</v>
      </c>
      <c r="T39" s="23">
        <f>_xlfn.STDEV.S(T29:T36)</f>
        <v>3.2937839182314348</v>
      </c>
      <c r="U39" s="170"/>
      <c r="V39" s="170"/>
    </row>
    <row r="40" spans="2:22" x14ac:dyDescent="0.25">
      <c r="B40" s="33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170"/>
      <c r="V40" s="170"/>
    </row>
    <row r="41" spans="2:22" x14ac:dyDescent="0.25">
      <c r="B41" s="33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170"/>
      <c r="V41" s="170"/>
    </row>
    <row r="42" spans="2:22" x14ac:dyDescent="0.25">
      <c r="B42" s="2" t="s">
        <v>45</v>
      </c>
      <c r="C42" s="444"/>
      <c r="D42" s="79"/>
      <c r="E42" s="79"/>
      <c r="F42" s="445" t="s">
        <v>46</v>
      </c>
      <c r="G42" s="444"/>
      <c r="H42" s="79"/>
      <c r="I42" s="79"/>
      <c r="J42" s="445" t="s">
        <v>39</v>
      </c>
      <c r="K42" s="444"/>
      <c r="L42" s="79"/>
      <c r="M42" s="79"/>
      <c r="N42" s="445" t="s">
        <v>49</v>
      </c>
      <c r="O42" s="444"/>
      <c r="P42" s="79"/>
      <c r="Q42" s="79"/>
      <c r="R42" s="79"/>
      <c r="S42" s="79"/>
      <c r="T42" s="79"/>
      <c r="U42" s="170"/>
      <c r="V42" s="170"/>
    </row>
    <row r="43" spans="2:22" x14ac:dyDescent="0.25">
      <c r="B43" s="4" t="s">
        <v>4</v>
      </c>
      <c r="C43" s="5" t="s">
        <v>230</v>
      </c>
      <c r="D43" s="446" t="s">
        <v>35</v>
      </c>
      <c r="E43" s="79"/>
      <c r="F43" s="68" t="s">
        <v>4</v>
      </c>
      <c r="G43" s="5" t="s">
        <v>230</v>
      </c>
      <c r="H43" s="446" t="s">
        <v>35</v>
      </c>
      <c r="I43" s="79"/>
      <c r="J43" s="68" t="s">
        <v>4</v>
      </c>
      <c r="K43" s="5" t="s">
        <v>230</v>
      </c>
      <c r="L43" s="446" t="s">
        <v>35</v>
      </c>
      <c r="M43" s="79"/>
      <c r="N43" s="68" t="s">
        <v>4</v>
      </c>
      <c r="O43" s="5" t="s">
        <v>230</v>
      </c>
      <c r="P43" s="446" t="s">
        <v>35</v>
      </c>
      <c r="Q43" s="79"/>
      <c r="R43" s="79"/>
      <c r="S43" s="79"/>
      <c r="T43" s="79"/>
      <c r="U43" s="170"/>
      <c r="V43" s="170"/>
    </row>
    <row r="44" spans="2:22" x14ac:dyDescent="0.25">
      <c r="B44" s="43"/>
      <c r="C44" s="166" t="s">
        <v>5</v>
      </c>
      <c r="D44" s="38">
        <v>167.09</v>
      </c>
      <c r="E44" s="79"/>
      <c r="F44" s="49"/>
      <c r="G44" s="166" t="s">
        <v>5</v>
      </c>
      <c r="H44" s="38">
        <v>102.45</v>
      </c>
      <c r="I44" s="79"/>
      <c r="J44" s="49"/>
      <c r="K44" s="166" t="s">
        <v>5</v>
      </c>
      <c r="L44" s="38">
        <v>31.04</v>
      </c>
      <c r="M44" s="79"/>
      <c r="N44" s="447"/>
      <c r="O44" s="166" t="s">
        <v>5</v>
      </c>
      <c r="P44" s="38">
        <v>9.42</v>
      </c>
      <c r="Q44" s="79"/>
      <c r="R44" s="33"/>
      <c r="S44" s="79"/>
      <c r="T44" s="79"/>
      <c r="U44" s="170"/>
      <c r="V44" s="170"/>
    </row>
    <row r="45" spans="2:22" x14ac:dyDescent="0.25">
      <c r="B45" s="448"/>
      <c r="C45" s="168" t="s">
        <v>6</v>
      </c>
      <c r="D45" s="35">
        <v>160.71</v>
      </c>
      <c r="E45" s="79"/>
      <c r="F45" s="54"/>
      <c r="G45" s="168" t="s">
        <v>6</v>
      </c>
      <c r="H45" s="35">
        <v>94.27</v>
      </c>
      <c r="I45" s="79"/>
      <c r="J45" s="52"/>
      <c r="K45" s="168" t="s">
        <v>6</v>
      </c>
      <c r="L45" s="35">
        <v>18.57</v>
      </c>
      <c r="M45" s="79"/>
      <c r="N45" s="52"/>
      <c r="O45" s="168" t="s">
        <v>6</v>
      </c>
      <c r="P45" s="35">
        <v>8.5299999999999994</v>
      </c>
      <c r="Q45" s="79"/>
      <c r="R45" s="33"/>
      <c r="S45" s="79"/>
      <c r="T45" s="79"/>
      <c r="U45" s="170"/>
      <c r="V45" s="170"/>
    </row>
    <row r="46" spans="2:22" x14ac:dyDescent="0.25">
      <c r="B46" s="448"/>
      <c r="C46" s="168" t="s">
        <v>7</v>
      </c>
      <c r="D46" s="35">
        <v>65.14</v>
      </c>
      <c r="E46" s="79"/>
      <c r="F46" s="54"/>
      <c r="G46" s="168" t="s">
        <v>7</v>
      </c>
      <c r="H46" s="35">
        <v>42.33</v>
      </c>
      <c r="I46" s="79"/>
      <c r="J46" s="52"/>
      <c r="K46" s="168" t="s">
        <v>7</v>
      </c>
      <c r="L46" s="35">
        <v>16.010000000000002</v>
      </c>
      <c r="M46" s="79"/>
      <c r="N46" s="52"/>
      <c r="O46" s="168" t="s">
        <v>7</v>
      </c>
      <c r="P46" s="35">
        <v>3.71</v>
      </c>
      <c r="Q46" s="79"/>
      <c r="R46" s="33"/>
      <c r="S46" s="79"/>
      <c r="T46" s="79"/>
      <c r="U46" s="170"/>
      <c r="V46" s="170"/>
    </row>
    <row r="47" spans="2:22" x14ac:dyDescent="0.25">
      <c r="B47" s="448"/>
      <c r="C47" s="168" t="s">
        <v>8</v>
      </c>
      <c r="D47" s="35">
        <v>82.64</v>
      </c>
      <c r="E47" s="79"/>
      <c r="F47" s="54"/>
      <c r="G47" s="168" t="s">
        <v>8</v>
      </c>
      <c r="H47" s="35">
        <v>56.27</v>
      </c>
      <c r="I47" s="79"/>
      <c r="J47" s="52"/>
      <c r="K47" s="168" t="s">
        <v>8</v>
      </c>
      <c r="L47" s="35">
        <v>42.91</v>
      </c>
      <c r="M47" s="79"/>
      <c r="N47" s="52"/>
      <c r="O47" s="168" t="s">
        <v>8</v>
      </c>
      <c r="P47" s="35">
        <v>4.79</v>
      </c>
      <c r="Q47" s="79"/>
      <c r="R47" s="33"/>
      <c r="S47" s="79"/>
      <c r="T47" s="79"/>
      <c r="U47" s="170"/>
      <c r="V47" s="170"/>
    </row>
    <row r="48" spans="2:22" x14ac:dyDescent="0.25">
      <c r="B48" s="36"/>
      <c r="C48" s="168" t="s">
        <v>14</v>
      </c>
      <c r="D48" s="35">
        <v>115.42</v>
      </c>
      <c r="E48" s="79"/>
      <c r="F48" s="54"/>
      <c r="G48" s="168" t="s">
        <v>14</v>
      </c>
      <c r="H48" s="35">
        <v>66.97</v>
      </c>
      <c r="I48" s="79"/>
      <c r="J48" s="54"/>
      <c r="K48" s="168" t="s">
        <v>14</v>
      </c>
      <c r="L48" s="35">
        <v>35.86</v>
      </c>
      <c r="M48" s="79"/>
      <c r="N48" s="54"/>
      <c r="O48" s="168" t="s">
        <v>14</v>
      </c>
      <c r="P48" s="35">
        <v>8.09</v>
      </c>
      <c r="Q48" s="79"/>
      <c r="R48" s="33"/>
      <c r="S48" s="79"/>
      <c r="T48" s="79"/>
      <c r="U48" s="170"/>
      <c r="V48" s="170"/>
    </row>
    <row r="49" spans="2:22" x14ac:dyDescent="0.25">
      <c r="B49" s="36"/>
      <c r="C49" s="168" t="s">
        <v>15</v>
      </c>
      <c r="D49" s="35">
        <v>144.21</v>
      </c>
      <c r="E49" s="79"/>
      <c r="F49" s="54"/>
      <c r="G49" s="168" t="s">
        <v>15</v>
      </c>
      <c r="H49" s="35">
        <v>75.55</v>
      </c>
      <c r="I49" s="79"/>
      <c r="J49" s="54"/>
      <c r="K49" s="168" t="s">
        <v>15</v>
      </c>
      <c r="L49" s="35">
        <v>40.58</v>
      </c>
      <c r="M49" s="79"/>
      <c r="N49" s="54"/>
      <c r="O49" s="168" t="s">
        <v>15</v>
      </c>
      <c r="P49" s="35">
        <v>10.1</v>
      </c>
      <c r="Q49" s="79"/>
      <c r="R49" s="33"/>
      <c r="S49" s="79"/>
      <c r="T49" s="79"/>
      <c r="U49" s="170"/>
      <c r="V49" s="170"/>
    </row>
    <row r="50" spans="2:22" x14ac:dyDescent="0.25">
      <c r="B50" s="36"/>
      <c r="C50" s="168" t="s">
        <v>19</v>
      </c>
      <c r="D50" s="35">
        <v>49.33</v>
      </c>
      <c r="E50" s="79"/>
      <c r="F50" s="54"/>
      <c r="G50" s="168" t="s">
        <v>19</v>
      </c>
      <c r="H50" s="35">
        <v>32.1</v>
      </c>
      <c r="I50" s="79"/>
      <c r="J50" s="54"/>
      <c r="K50" s="168" t="s">
        <v>19</v>
      </c>
      <c r="L50" s="35">
        <v>28.6</v>
      </c>
      <c r="M50" s="79"/>
      <c r="N50" s="54"/>
      <c r="O50" s="168" t="s">
        <v>19</v>
      </c>
      <c r="P50" s="35">
        <v>3.86</v>
      </c>
      <c r="Q50" s="79"/>
      <c r="R50" s="33"/>
      <c r="S50" s="79"/>
      <c r="T50" s="79"/>
      <c r="U50" s="170"/>
      <c r="V50" s="170"/>
    </row>
    <row r="51" spans="2:22" x14ac:dyDescent="0.25">
      <c r="B51" s="36"/>
      <c r="C51" s="168" t="s">
        <v>21</v>
      </c>
      <c r="D51" s="35">
        <v>45.84</v>
      </c>
      <c r="E51" s="79"/>
      <c r="F51" s="54"/>
      <c r="G51" s="168" t="s">
        <v>21</v>
      </c>
      <c r="H51" s="35">
        <v>28.94</v>
      </c>
      <c r="I51" s="79"/>
      <c r="J51" s="54"/>
      <c r="K51" s="168" t="s">
        <v>21</v>
      </c>
      <c r="L51" s="35">
        <v>28.6</v>
      </c>
      <c r="M51" s="79"/>
      <c r="N51" s="54"/>
      <c r="O51" s="168" t="s">
        <v>21</v>
      </c>
      <c r="P51" s="35">
        <v>3.9</v>
      </c>
      <c r="Q51" s="79"/>
      <c r="R51" s="33"/>
      <c r="S51" s="79"/>
      <c r="T51" s="79"/>
      <c r="U51" s="170"/>
      <c r="V51" s="170"/>
    </row>
    <row r="52" spans="2:22" x14ac:dyDescent="0.25">
      <c r="B52" s="36"/>
      <c r="C52" s="70"/>
      <c r="D52" s="35"/>
      <c r="E52" s="79"/>
      <c r="F52" s="54"/>
      <c r="G52" s="70"/>
      <c r="H52" s="35"/>
      <c r="I52" s="79"/>
      <c r="J52" s="54"/>
      <c r="K52" s="70"/>
      <c r="L52" s="35"/>
      <c r="M52" s="79"/>
      <c r="N52" s="54"/>
      <c r="O52" s="70"/>
      <c r="P52" s="35"/>
      <c r="Q52" s="79"/>
      <c r="R52" s="33"/>
      <c r="S52" s="79"/>
      <c r="T52" s="79"/>
      <c r="U52" s="170"/>
      <c r="V52" s="170"/>
    </row>
    <row r="53" spans="2:22" x14ac:dyDescent="0.25">
      <c r="B53" s="36"/>
      <c r="C53" s="16" t="s">
        <v>56</v>
      </c>
      <c r="D53" s="24">
        <f>AVERAGE(D44:D51)</f>
        <v>103.79750000000001</v>
      </c>
      <c r="E53" s="362"/>
      <c r="F53" s="442"/>
      <c r="G53" s="16" t="s">
        <v>56</v>
      </c>
      <c r="H53" s="24">
        <f>AVERAGE(H44:H51)</f>
        <v>62.36</v>
      </c>
      <c r="I53" s="362"/>
      <c r="J53" s="442"/>
      <c r="K53" s="16" t="s">
        <v>56</v>
      </c>
      <c r="L53" s="24">
        <f>AVERAGE(L44:L51)</f>
        <v>30.271249999999995</v>
      </c>
      <c r="M53" s="362"/>
      <c r="N53" s="442"/>
      <c r="O53" s="16" t="s">
        <v>56</v>
      </c>
      <c r="P53" s="24">
        <f>AVERAGE(P44:P51)</f>
        <v>6.55</v>
      </c>
      <c r="Q53" s="79"/>
      <c r="R53" s="33"/>
      <c r="S53" s="79"/>
      <c r="T53" s="79"/>
      <c r="U53" s="170"/>
      <c r="V53" s="170"/>
    </row>
    <row r="54" spans="2:22" x14ac:dyDescent="0.25">
      <c r="B54" s="169"/>
      <c r="C54" s="55" t="s">
        <v>22</v>
      </c>
      <c r="D54" s="23">
        <f>_xlfn.STDEV.S(D44:D51)</f>
        <v>49.686227396101856</v>
      </c>
      <c r="E54" s="362"/>
      <c r="F54" s="443"/>
      <c r="G54" s="55" t="s">
        <v>22</v>
      </c>
      <c r="H54" s="23">
        <f>_xlfn.STDEV.S(H44:H51)</f>
        <v>27.494252386375504</v>
      </c>
      <c r="I54" s="362"/>
      <c r="J54" s="443"/>
      <c r="K54" s="55" t="s">
        <v>22</v>
      </c>
      <c r="L54" s="23">
        <f>_xlfn.STDEV.S(L44:L51)</f>
        <v>9.5895932246517113</v>
      </c>
      <c r="M54" s="362"/>
      <c r="N54" s="443"/>
      <c r="O54" s="55" t="s">
        <v>22</v>
      </c>
      <c r="P54" s="23">
        <f>_xlfn.STDEV.S(P44:P51)</f>
        <v>2.74</v>
      </c>
      <c r="Q54" s="79"/>
      <c r="R54" s="33"/>
      <c r="S54" s="79"/>
      <c r="T54" s="79"/>
      <c r="U54" s="170"/>
      <c r="V54" s="170"/>
    </row>
    <row r="55" spans="2:22" x14ac:dyDescent="0.25">
      <c r="B55" s="4" t="s">
        <v>25</v>
      </c>
      <c r="C55" s="5" t="s">
        <v>230</v>
      </c>
      <c r="D55" s="446" t="s">
        <v>35</v>
      </c>
      <c r="E55" s="79"/>
      <c r="F55" s="68" t="s">
        <v>25</v>
      </c>
      <c r="G55" s="5" t="s">
        <v>230</v>
      </c>
      <c r="H55" s="446" t="s">
        <v>35</v>
      </c>
      <c r="I55" s="79"/>
      <c r="J55" s="68" t="s">
        <v>25</v>
      </c>
      <c r="K55" s="5" t="s">
        <v>230</v>
      </c>
      <c r="L55" s="446" t="s">
        <v>35</v>
      </c>
      <c r="M55" s="79"/>
      <c r="N55" s="68" t="s">
        <v>25</v>
      </c>
      <c r="O55" s="5" t="s">
        <v>230</v>
      </c>
      <c r="P55" s="446" t="s">
        <v>35</v>
      </c>
      <c r="Q55" s="79"/>
      <c r="R55" s="79"/>
      <c r="S55" s="79"/>
      <c r="T55" s="79"/>
      <c r="U55" s="170"/>
      <c r="V55" s="170"/>
    </row>
    <row r="56" spans="2:22" x14ac:dyDescent="0.25">
      <c r="B56" s="39"/>
      <c r="C56" s="166" t="s">
        <v>5</v>
      </c>
      <c r="D56" s="38">
        <v>278.42</v>
      </c>
      <c r="E56" s="79"/>
      <c r="F56" s="49"/>
      <c r="G56" s="166" t="s">
        <v>5</v>
      </c>
      <c r="H56" s="38">
        <v>231.38</v>
      </c>
      <c r="I56" s="79"/>
      <c r="J56" s="49"/>
      <c r="K56" s="166" t="s">
        <v>5</v>
      </c>
      <c r="L56" s="38">
        <v>33.47</v>
      </c>
      <c r="M56" s="79"/>
      <c r="N56" s="54"/>
      <c r="O56" s="166" t="s">
        <v>5</v>
      </c>
      <c r="P56" s="35">
        <v>9.5299999999999994</v>
      </c>
      <c r="Q56" s="79"/>
      <c r="R56" s="79"/>
      <c r="S56" s="79"/>
      <c r="T56" s="79"/>
      <c r="U56" s="170"/>
      <c r="V56" s="170"/>
    </row>
    <row r="57" spans="2:22" x14ac:dyDescent="0.25">
      <c r="B57" s="36"/>
      <c r="C57" s="168" t="s">
        <v>6</v>
      </c>
      <c r="D57" s="35">
        <v>298.27999999999997</v>
      </c>
      <c r="E57" s="79"/>
      <c r="F57" s="54"/>
      <c r="G57" s="168" t="s">
        <v>6</v>
      </c>
      <c r="H57" s="35">
        <v>242.75</v>
      </c>
      <c r="I57" s="79"/>
      <c r="J57" s="54"/>
      <c r="K57" s="168" t="s">
        <v>6</v>
      </c>
      <c r="L57" s="35">
        <v>37.049999999999997</v>
      </c>
      <c r="M57" s="79"/>
      <c r="N57" s="54"/>
      <c r="O57" s="168" t="s">
        <v>6</v>
      </c>
      <c r="P57" s="35">
        <v>10.16</v>
      </c>
      <c r="Q57" s="79"/>
      <c r="R57" s="79"/>
      <c r="S57" s="79"/>
      <c r="T57" s="79"/>
      <c r="U57" s="170"/>
      <c r="V57" s="170"/>
    </row>
    <row r="58" spans="2:22" x14ac:dyDescent="0.25">
      <c r="B58" s="36"/>
      <c r="C58" s="168" t="s">
        <v>7</v>
      </c>
      <c r="D58" s="35">
        <v>134.52000000000001</v>
      </c>
      <c r="E58" s="79"/>
      <c r="F58" s="54"/>
      <c r="G58" s="168" t="s">
        <v>7</v>
      </c>
      <c r="H58" s="35">
        <v>121.51</v>
      </c>
      <c r="I58" s="79"/>
      <c r="J58" s="54"/>
      <c r="K58" s="168" t="s">
        <v>7</v>
      </c>
      <c r="L58" s="35">
        <v>28.6</v>
      </c>
      <c r="M58" s="79"/>
      <c r="N58" s="54"/>
      <c r="O58" s="168" t="s">
        <v>7</v>
      </c>
      <c r="P58" s="35">
        <v>4.6900000000000004</v>
      </c>
      <c r="Q58" s="79"/>
      <c r="R58" s="79"/>
      <c r="S58" s="79"/>
      <c r="T58" s="79"/>
      <c r="U58" s="170"/>
      <c r="V58" s="170"/>
    </row>
    <row r="59" spans="2:22" x14ac:dyDescent="0.25">
      <c r="B59" s="36"/>
      <c r="C59" s="168" t="s">
        <v>8</v>
      </c>
      <c r="D59" s="35">
        <v>179.35</v>
      </c>
      <c r="E59" s="79"/>
      <c r="F59" s="54"/>
      <c r="G59" s="168" t="s">
        <v>8</v>
      </c>
      <c r="H59" s="35">
        <v>153.1</v>
      </c>
      <c r="I59" s="79"/>
      <c r="J59" s="54"/>
      <c r="K59" s="168" t="s">
        <v>8</v>
      </c>
      <c r="L59" s="35">
        <v>48.62</v>
      </c>
      <c r="M59" s="79"/>
      <c r="N59" s="54"/>
      <c r="O59" s="168" t="s">
        <v>8</v>
      </c>
      <c r="P59" s="35">
        <v>6.19</v>
      </c>
      <c r="Q59" s="79"/>
      <c r="R59" s="79"/>
      <c r="S59" s="79"/>
      <c r="T59" s="79"/>
      <c r="U59" s="170"/>
      <c r="V59" s="170"/>
    </row>
    <row r="60" spans="2:22" x14ac:dyDescent="0.25">
      <c r="B60" s="36"/>
      <c r="C60" s="168" t="s">
        <v>14</v>
      </c>
      <c r="D60" s="35">
        <v>634.5</v>
      </c>
      <c r="E60" s="79"/>
      <c r="F60" s="54"/>
      <c r="G60" s="168" t="s">
        <v>14</v>
      </c>
      <c r="H60" s="35">
        <v>624.29</v>
      </c>
      <c r="I60" s="79"/>
      <c r="J60" s="54"/>
      <c r="K60" s="168" t="s">
        <v>14</v>
      </c>
      <c r="L60" s="35">
        <v>58.56</v>
      </c>
      <c r="M60" s="79"/>
      <c r="N60" s="54"/>
      <c r="O60" s="168" t="s">
        <v>14</v>
      </c>
      <c r="P60" s="35">
        <v>16.86</v>
      </c>
      <c r="Q60" s="79"/>
      <c r="R60" s="79"/>
      <c r="S60" s="79"/>
      <c r="T60" s="79"/>
      <c r="U60" s="170"/>
      <c r="V60" s="170"/>
    </row>
    <row r="61" spans="2:22" x14ac:dyDescent="0.25">
      <c r="B61" s="36"/>
      <c r="C61" s="168" t="s">
        <v>15</v>
      </c>
      <c r="D61" s="35">
        <v>609.26</v>
      </c>
      <c r="E61" s="79"/>
      <c r="F61" s="54"/>
      <c r="G61" s="168" t="s">
        <v>15</v>
      </c>
      <c r="H61" s="35">
        <v>607.02</v>
      </c>
      <c r="I61" s="79"/>
      <c r="J61" s="54"/>
      <c r="K61" s="168" t="s">
        <v>15</v>
      </c>
      <c r="L61" s="35">
        <v>62.85</v>
      </c>
      <c r="M61" s="79"/>
      <c r="N61" s="54"/>
      <c r="O61" s="168" t="s">
        <v>15</v>
      </c>
      <c r="P61" s="35">
        <v>16.48</v>
      </c>
      <c r="Q61" s="79"/>
      <c r="R61" s="79"/>
      <c r="S61" s="79"/>
      <c r="T61" s="79"/>
      <c r="U61" s="170"/>
      <c r="V61" s="170"/>
    </row>
    <row r="62" spans="2:22" x14ac:dyDescent="0.25">
      <c r="B62" s="36"/>
      <c r="C62" s="168" t="s">
        <v>19</v>
      </c>
      <c r="D62" s="35">
        <v>285.48</v>
      </c>
      <c r="E62" s="79"/>
      <c r="F62" s="54"/>
      <c r="G62" s="168" t="s">
        <v>19</v>
      </c>
      <c r="H62" s="35">
        <v>290.39999999999998</v>
      </c>
      <c r="I62" s="79"/>
      <c r="J62" s="54"/>
      <c r="K62" s="168" t="s">
        <v>19</v>
      </c>
      <c r="L62" s="35">
        <v>42.91</v>
      </c>
      <c r="M62" s="79"/>
      <c r="N62" s="54"/>
      <c r="O62" s="168" t="s">
        <v>19</v>
      </c>
      <c r="P62" s="35">
        <v>7.12</v>
      </c>
      <c r="Q62" s="79"/>
      <c r="R62" s="79"/>
      <c r="S62" s="79"/>
      <c r="T62" s="79"/>
      <c r="U62" s="170"/>
      <c r="V62" s="170"/>
    </row>
    <row r="63" spans="2:22" x14ac:dyDescent="0.25">
      <c r="B63" s="36"/>
      <c r="C63" s="168" t="s">
        <v>21</v>
      </c>
      <c r="D63" s="35">
        <v>281.07</v>
      </c>
      <c r="E63" s="79"/>
      <c r="F63" s="54"/>
      <c r="G63" s="168" t="s">
        <v>21</v>
      </c>
      <c r="H63" s="35">
        <v>284.24</v>
      </c>
      <c r="I63" s="79"/>
      <c r="J63" s="54"/>
      <c r="K63" s="168" t="s">
        <v>21</v>
      </c>
      <c r="L63" s="35">
        <v>45.21</v>
      </c>
      <c r="M63" s="79"/>
      <c r="N63" s="54"/>
      <c r="O63" s="168" t="s">
        <v>21</v>
      </c>
      <c r="P63" s="35">
        <v>6.59</v>
      </c>
      <c r="Q63" s="79"/>
      <c r="R63" s="79"/>
      <c r="S63" s="79"/>
      <c r="T63" s="79"/>
      <c r="U63" s="170"/>
      <c r="V63" s="170"/>
    </row>
    <row r="64" spans="2:22" x14ac:dyDescent="0.25">
      <c r="B64" s="36"/>
      <c r="C64" s="70"/>
      <c r="D64" s="35"/>
      <c r="E64" s="79"/>
      <c r="F64" s="54"/>
      <c r="G64" s="70"/>
      <c r="H64" s="35"/>
      <c r="I64" s="79"/>
      <c r="J64" s="54"/>
      <c r="K64" s="70"/>
      <c r="L64" s="35"/>
      <c r="M64" s="79"/>
      <c r="N64" s="54"/>
      <c r="O64" s="70"/>
      <c r="P64" s="35"/>
      <c r="Q64" s="79"/>
      <c r="R64" s="79"/>
      <c r="S64" s="79"/>
      <c r="T64" s="79"/>
      <c r="U64" s="170"/>
      <c r="V64" s="170"/>
    </row>
    <row r="65" spans="2:22" x14ac:dyDescent="0.25">
      <c r="B65" s="36"/>
      <c r="C65" s="16" t="s">
        <v>56</v>
      </c>
      <c r="D65" s="24">
        <f>AVERAGE(D56:D63)</f>
        <v>337.61</v>
      </c>
      <c r="E65" s="362"/>
      <c r="F65" s="442"/>
      <c r="G65" s="16" t="s">
        <v>56</v>
      </c>
      <c r="H65" s="24">
        <f>AVERAGE(H56:H63)</f>
        <v>319.33624999999995</v>
      </c>
      <c r="I65" s="362"/>
      <c r="J65" s="442"/>
      <c r="K65" s="16" t="s">
        <v>56</v>
      </c>
      <c r="L65" s="24">
        <f>AVERAGE(L56:L63)</f>
        <v>44.658750000000005</v>
      </c>
      <c r="M65" s="362"/>
      <c r="N65" s="442"/>
      <c r="O65" s="16" t="s">
        <v>56</v>
      </c>
      <c r="P65" s="24">
        <f>AVERAGE(P56:P63)</f>
        <v>9.7025000000000006</v>
      </c>
      <c r="Q65" s="79"/>
      <c r="R65" s="79"/>
      <c r="S65" s="79"/>
      <c r="T65" s="79"/>
      <c r="U65" s="170"/>
      <c r="V65" s="170"/>
    </row>
    <row r="66" spans="2:22" x14ac:dyDescent="0.25">
      <c r="B66" s="169"/>
      <c r="C66" s="55" t="s">
        <v>22</v>
      </c>
      <c r="D66" s="23">
        <f>_xlfn.STDEV.S(D56:D63)</f>
        <v>184.85275367940056</v>
      </c>
      <c r="E66" s="362"/>
      <c r="F66" s="443"/>
      <c r="G66" s="55" t="s">
        <v>22</v>
      </c>
      <c r="H66" s="23">
        <f>_xlfn.STDEV.S(H56:H63)</f>
        <v>192.05626206456878</v>
      </c>
      <c r="I66" s="362"/>
      <c r="J66" s="443"/>
      <c r="K66" s="55" t="s">
        <v>22</v>
      </c>
      <c r="L66" s="23">
        <f>_xlfn.STDEV.S(L56:L63)</f>
        <v>11.857393639774752</v>
      </c>
      <c r="M66" s="362"/>
      <c r="N66" s="443"/>
      <c r="O66" s="55" t="s">
        <v>22</v>
      </c>
      <c r="P66" s="23">
        <f>_xlfn.STDEV.S(P56:P63)</f>
        <v>4.6479357937537298</v>
      </c>
      <c r="Q66" s="79"/>
      <c r="R66" s="79"/>
      <c r="S66" s="79"/>
      <c r="T66" s="79"/>
      <c r="U66" s="170"/>
      <c r="V66" s="170"/>
    </row>
    <row r="67" spans="2:22" x14ac:dyDescent="0.25">
      <c r="B67" s="4" t="s">
        <v>36</v>
      </c>
      <c r="C67" s="5" t="s">
        <v>230</v>
      </c>
      <c r="D67" s="446" t="s">
        <v>35</v>
      </c>
      <c r="E67" s="79"/>
      <c r="F67" s="68" t="s">
        <v>36</v>
      </c>
      <c r="G67" s="5" t="s">
        <v>230</v>
      </c>
      <c r="H67" s="446" t="s">
        <v>35</v>
      </c>
      <c r="I67" s="79"/>
      <c r="J67" s="68" t="s">
        <v>36</v>
      </c>
      <c r="K67" s="5" t="s">
        <v>230</v>
      </c>
      <c r="L67" s="446" t="s">
        <v>35</v>
      </c>
      <c r="M67" s="79"/>
      <c r="N67" s="68" t="s">
        <v>36</v>
      </c>
      <c r="O67" s="5" t="s">
        <v>230</v>
      </c>
      <c r="P67" s="446" t="s">
        <v>35</v>
      </c>
      <c r="Q67" s="79"/>
      <c r="R67" s="79"/>
      <c r="S67" s="79"/>
      <c r="T67" s="79"/>
      <c r="U67" s="170"/>
      <c r="V67" s="170"/>
    </row>
    <row r="68" spans="2:22" x14ac:dyDescent="0.25">
      <c r="B68" s="39"/>
      <c r="C68" s="166" t="s">
        <v>5</v>
      </c>
      <c r="D68" s="38">
        <v>2199</v>
      </c>
      <c r="E68" s="79"/>
      <c r="F68" s="49"/>
      <c r="G68" s="166" t="s">
        <v>5</v>
      </c>
      <c r="H68" s="38">
        <v>1702</v>
      </c>
      <c r="I68" s="79"/>
      <c r="J68" s="49"/>
      <c r="K68" s="166" t="s">
        <v>5</v>
      </c>
      <c r="L68" s="167">
        <v>49.75</v>
      </c>
      <c r="M68" s="79"/>
      <c r="N68" s="49"/>
      <c r="O68" s="166" t="s">
        <v>5</v>
      </c>
      <c r="P68" s="38">
        <v>52.65</v>
      </c>
      <c r="Q68" s="79"/>
      <c r="R68" s="79"/>
      <c r="S68" s="79"/>
      <c r="T68" s="79"/>
      <c r="U68" s="170"/>
      <c r="V68" s="170"/>
    </row>
    <row r="69" spans="2:22" x14ac:dyDescent="0.25">
      <c r="B69" s="36"/>
      <c r="C69" s="168" t="s">
        <v>6</v>
      </c>
      <c r="D69" s="35">
        <v>1723</v>
      </c>
      <c r="E69" s="33"/>
      <c r="F69" s="36"/>
      <c r="G69" s="168" t="s">
        <v>6</v>
      </c>
      <c r="H69" s="35">
        <v>1409</v>
      </c>
      <c r="I69" s="33"/>
      <c r="J69" s="36"/>
      <c r="K69" s="168" t="s">
        <v>6</v>
      </c>
      <c r="L69" s="37">
        <v>42.91</v>
      </c>
      <c r="M69" s="33"/>
      <c r="N69" s="36"/>
      <c r="O69" s="168" t="s">
        <v>6</v>
      </c>
      <c r="P69" s="35">
        <v>41.14</v>
      </c>
      <c r="Q69" s="33"/>
      <c r="R69" s="33"/>
      <c r="S69" s="33"/>
      <c r="T69" s="33"/>
      <c r="U69" s="170"/>
      <c r="V69" s="170"/>
    </row>
    <row r="70" spans="2:22" x14ac:dyDescent="0.25">
      <c r="B70" s="36"/>
      <c r="C70" s="168" t="s">
        <v>7</v>
      </c>
      <c r="D70" s="35">
        <v>931.1</v>
      </c>
      <c r="E70" s="33"/>
      <c r="F70" s="36"/>
      <c r="G70" s="168" t="s">
        <v>7</v>
      </c>
      <c r="H70" s="35">
        <v>735.16</v>
      </c>
      <c r="I70" s="33"/>
      <c r="J70" s="36"/>
      <c r="K70" s="168" t="s">
        <v>7</v>
      </c>
      <c r="L70" s="37">
        <v>54.19</v>
      </c>
      <c r="M70" s="33"/>
      <c r="N70" s="36"/>
      <c r="O70" s="168" t="s">
        <v>7</v>
      </c>
      <c r="P70" s="35">
        <v>24.34</v>
      </c>
      <c r="Q70" s="33"/>
      <c r="R70" s="33"/>
      <c r="S70" s="33"/>
      <c r="T70" s="33"/>
      <c r="U70" s="170"/>
      <c r="V70" s="170"/>
    </row>
    <row r="71" spans="2:22" x14ac:dyDescent="0.25">
      <c r="B71" s="36"/>
      <c r="C71" s="168" t="s">
        <v>8</v>
      </c>
      <c r="D71" s="35">
        <v>832.31</v>
      </c>
      <c r="E71" s="33"/>
      <c r="F71" s="36"/>
      <c r="G71" s="168" t="s">
        <v>8</v>
      </c>
      <c r="H71" s="35">
        <v>731.29</v>
      </c>
      <c r="I71" s="33"/>
      <c r="J71" s="36"/>
      <c r="K71" s="168" t="s">
        <v>8</v>
      </c>
      <c r="L71" s="37">
        <v>58.56</v>
      </c>
      <c r="M71" s="33"/>
      <c r="N71" s="36"/>
      <c r="O71" s="168" t="s">
        <v>8</v>
      </c>
      <c r="P71" s="35">
        <v>21.84</v>
      </c>
      <c r="Q71" s="33"/>
      <c r="R71" s="33"/>
      <c r="S71" s="33"/>
      <c r="T71" s="33"/>
      <c r="U71" s="170"/>
      <c r="V71" s="170"/>
    </row>
    <row r="72" spans="2:22" x14ac:dyDescent="0.25">
      <c r="B72" s="36"/>
      <c r="C72" s="168" t="s">
        <v>14</v>
      </c>
      <c r="D72" s="35">
        <v>1053</v>
      </c>
      <c r="E72" s="33"/>
      <c r="F72" s="36"/>
      <c r="G72" s="168" t="s">
        <v>14</v>
      </c>
      <c r="H72" s="35">
        <v>1266</v>
      </c>
      <c r="I72" s="33"/>
      <c r="J72" s="36"/>
      <c r="K72" s="168" t="s">
        <v>14</v>
      </c>
      <c r="L72" s="37">
        <v>60.71</v>
      </c>
      <c r="M72" s="33"/>
      <c r="N72" s="36"/>
      <c r="O72" s="168" t="s">
        <v>14</v>
      </c>
      <c r="P72" s="35">
        <v>49.3</v>
      </c>
      <c r="Q72" s="33"/>
      <c r="R72" s="33"/>
      <c r="S72" s="33"/>
      <c r="T72" s="33"/>
      <c r="U72" s="170"/>
      <c r="V72" s="170"/>
    </row>
    <row r="73" spans="2:22" x14ac:dyDescent="0.25">
      <c r="B73" s="36"/>
      <c r="C73" s="168" t="s">
        <v>15</v>
      </c>
      <c r="D73" s="35">
        <v>1109</v>
      </c>
      <c r="E73" s="33"/>
      <c r="F73" s="36"/>
      <c r="G73" s="168" t="s">
        <v>15</v>
      </c>
      <c r="H73" s="35">
        <v>1386</v>
      </c>
      <c r="I73" s="33"/>
      <c r="J73" s="36"/>
      <c r="K73" s="168" t="s">
        <v>15</v>
      </c>
      <c r="L73" s="37">
        <v>61.78</v>
      </c>
      <c r="M73" s="33"/>
      <c r="N73" s="36"/>
      <c r="O73" s="168" t="s">
        <v>15</v>
      </c>
      <c r="P73" s="35">
        <v>53.88</v>
      </c>
      <c r="Q73" s="33"/>
      <c r="R73" s="33"/>
      <c r="S73" s="33"/>
      <c r="T73" s="33"/>
      <c r="U73" s="170"/>
      <c r="V73" s="170"/>
    </row>
    <row r="74" spans="2:22" x14ac:dyDescent="0.25">
      <c r="B74" s="36"/>
      <c r="C74" s="168" t="s">
        <v>19</v>
      </c>
      <c r="D74" s="35">
        <v>561.97</v>
      </c>
      <c r="E74" s="33"/>
      <c r="F74" s="36"/>
      <c r="G74" s="168" t="s">
        <v>19</v>
      </c>
      <c r="H74" s="35">
        <v>635.4</v>
      </c>
      <c r="I74" s="33"/>
      <c r="J74" s="36"/>
      <c r="K74" s="168" t="s">
        <v>19</v>
      </c>
      <c r="L74" s="37">
        <v>58.56</v>
      </c>
      <c r="M74" s="33"/>
      <c r="N74" s="36"/>
      <c r="O74" s="168" t="s">
        <v>19</v>
      </c>
      <c r="P74" s="35">
        <v>23.35</v>
      </c>
      <c r="Q74" s="33"/>
      <c r="R74" s="33"/>
      <c r="S74" s="33"/>
      <c r="T74" s="33"/>
      <c r="U74" s="170"/>
      <c r="V74" s="170"/>
    </row>
    <row r="75" spans="2:22" x14ac:dyDescent="0.25">
      <c r="B75" s="36"/>
      <c r="C75" s="168" t="s">
        <v>21</v>
      </c>
      <c r="D75" s="35">
        <v>382.76</v>
      </c>
      <c r="E75" s="79"/>
      <c r="F75" s="54"/>
      <c r="G75" s="168" t="s">
        <v>21</v>
      </c>
      <c r="H75" s="35">
        <v>435.74</v>
      </c>
      <c r="I75" s="79"/>
      <c r="J75" s="54"/>
      <c r="K75" s="168" t="s">
        <v>21</v>
      </c>
      <c r="L75" s="37">
        <v>27.36</v>
      </c>
      <c r="M75" s="79"/>
      <c r="N75" s="54"/>
      <c r="O75" s="168" t="s">
        <v>21</v>
      </c>
      <c r="P75" s="35">
        <v>15</v>
      </c>
      <c r="Q75" s="79"/>
      <c r="R75" s="79"/>
      <c r="S75" s="33"/>
      <c r="T75" s="33"/>
      <c r="U75" s="170"/>
      <c r="V75" s="170"/>
    </row>
    <row r="76" spans="2:22" x14ac:dyDescent="0.25">
      <c r="B76" s="36"/>
      <c r="C76" s="15"/>
      <c r="D76" s="35"/>
      <c r="E76" s="79"/>
      <c r="F76" s="54"/>
      <c r="G76" s="70"/>
      <c r="H76" s="35"/>
      <c r="I76" s="79"/>
      <c r="J76" s="54"/>
      <c r="K76" s="70"/>
      <c r="L76" s="35"/>
      <c r="M76" s="79"/>
      <c r="N76" s="54"/>
      <c r="O76" s="70"/>
      <c r="P76" s="35"/>
      <c r="Q76" s="79"/>
      <c r="R76" s="79"/>
      <c r="S76" s="33"/>
      <c r="T76" s="33"/>
      <c r="U76" s="170"/>
      <c r="V76" s="170"/>
    </row>
    <row r="77" spans="2:22" x14ac:dyDescent="0.25">
      <c r="B77" s="36"/>
      <c r="C77" s="16" t="s">
        <v>56</v>
      </c>
      <c r="D77" s="24">
        <f>AVERAGE(D68:D75)</f>
        <v>1099.0174999999999</v>
      </c>
      <c r="E77" s="362"/>
      <c r="F77" s="442"/>
      <c r="G77" s="16" t="s">
        <v>56</v>
      </c>
      <c r="H77" s="24">
        <f>AVERAGE(H68:H75)</f>
        <v>1037.57375</v>
      </c>
      <c r="I77" s="362"/>
      <c r="J77" s="442"/>
      <c r="K77" s="16" t="s">
        <v>56</v>
      </c>
      <c r="L77" s="24">
        <f>AVERAGE(L68:L75)</f>
        <v>51.727499999999999</v>
      </c>
      <c r="M77" s="362"/>
      <c r="N77" s="442"/>
      <c r="O77" s="16" t="s">
        <v>56</v>
      </c>
      <c r="P77" s="24">
        <f>AVERAGE(P68:P75)</f>
        <v>35.1875</v>
      </c>
      <c r="Q77" s="79"/>
      <c r="R77" s="79"/>
      <c r="S77" s="33"/>
      <c r="T77" s="33"/>
      <c r="U77" s="170"/>
      <c r="V77" s="170"/>
    </row>
    <row r="78" spans="2:22" x14ac:dyDescent="0.25">
      <c r="B78" s="169"/>
      <c r="C78" s="56" t="s">
        <v>22</v>
      </c>
      <c r="D78" s="23">
        <f>_xlfn.STDEV.S(D68:D75)</f>
        <v>597.88997102309725</v>
      </c>
      <c r="E78" s="362"/>
      <c r="F78" s="443"/>
      <c r="G78" s="56" t="s">
        <v>22</v>
      </c>
      <c r="H78" s="23">
        <f>_xlfn.STDEV.S(H68:H75)</f>
        <v>457.04180862015875</v>
      </c>
      <c r="I78" s="362"/>
      <c r="J78" s="443"/>
      <c r="K78" s="56" t="s">
        <v>22</v>
      </c>
      <c r="L78" s="23">
        <f>_xlfn.STDEV.S(L68:L75)</f>
        <v>11.690056519477203</v>
      </c>
      <c r="M78" s="362"/>
      <c r="N78" s="443"/>
      <c r="O78" s="56" t="s">
        <v>22</v>
      </c>
      <c r="P78" s="23">
        <f>_xlfn.STDEV.S(P68:P75)</f>
        <v>15.731810131068832</v>
      </c>
      <c r="Q78" s="79"/>
      <c r="R78" s="79"/>
      <c r="S78" s="33"/>
      <c r="T78" s="33"/>
      <c r="U78" s="170"/>
      <c r="V78" s="170"/>
    </row>
    <row r="79" spans="2:22" x14ac:dyDescent="0.25">
      <c r="B79" s="182"/>
      <c r="C79" s="182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82"/>
      <c r="T79" s="182"/>
      <c r="U79" s="170"/>
      <c r="V79" s="170"/>
    </row>
    <row r="80" spans="2:22" x14ac:dyDescent="0.25">
      <c r="B80" s="170"/>
      <c r="C80" s="170"/>
      <c r="D80" s="170"/>
      <c r="E80" s="170"/>
      <c r="F80" s="170"/>
      <c r="G80" s="170"/>
      <c r="H80" s="170"/>
      <c r="I80" s="170"/>
      <c r="J80" s="170"/>
      <c r="K80" s="170"/>
      <c r="L80" s="170"/>
      <c r="M80" s="170"/>
      <c r="N80" s="170"/>
      <c r="O80" s="170"/>
      <c r="P80" s="170"/>
      <c r="Q80" s="170"/>
      <c r="R80" s="170"/>
      <c r="S80" s="170"/>
      <c r="T80" s="170"/>
      <c r="U80" s="170"/>
      <c r="V80" s="170"/>
    </row>
    <row r="81" spans="2:22" x14ac:dyDescent="0.25">
      <c r="B81" s="170"/>
      <c r="C81" s="170"/>
      <c r="D81" s="170"/>
      <c r="E81" s="170"/>
      <c r="F81" s="170"/>
      <c r="G81" s="170"/>
      <c r="H81" s="170"/>
      <c r="I81" s="170"/>
      <c r="J81" s="170"/>
      <c r="K81" s="170"/>
      <c r="L81" s="170"/>
      <c r="M81" s="170"/>
      <c r="N81" s="170"/>
      <c r="O81" s="170"/>
      <c r="P81" s="170"/>
      <c r="Q81" s="170"/>
      <c r="R81" s="170"/>
      <c r="S81" s="170"/>
      <c r="T81" s="170"/>
      <c r="U81" s="170"/>
      <c r="V81" s="170"/>
    </row>
    <row r="82" spans="2:22" x14ac:dyDescent="0.25">
      <c r="B82" s="170"/>
      <c r="C82" s="170"/>
      <c r="D82" s="170"/>
      <c r="E82" s="170"/>
      <c r="F82" s="170"/>
      <c r="G82" s="170"/>
      <c r="H82" s="170"/>
      <c r="I82" s="170"/>
      <c r="J82" s="170"/>
      <c r="K82" s="170"/>
      <c r="L82" s="170"/>
      <c r="M82" s="170"/>
      <c r="N82" s="170"/>
      <c r="O82" s="170"/>
      <c r="P82" s="170"/>
      <c r="Q82" s="170"/>
      <c r="R82" s="170"/>
      <c r="S82" s="170"/>
      <c r="T82" s="170"/>
      <c r="U82" s="170"/>
      <c r="V82" s="17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Y59"/>
  <sheetViews>
    <sheetView zoomScale="62" zoomScaleNormal="62" workbookViewId="0"/>
  </sheetViews>
  <sheetFormatPr defaultColWidth="9.140625" defaultRowHeight="15" x14ac:dyDescent="0.25"/>
  <cols>
    <col min="1" max="1" width="4" style="255" customWidth="1"/>
    <col min="2" max="2" width="21.42578125" style="255" customWidth="1"/>
    <col min="3" max="3" width="20.7109375" style="255" customWidth="1"/>
    <col min="4" max="4" width="16.28515625" style="255" bestFit="1" customWidth="1"/>
    <col min="5" max="5" width="17" style="255" bestFit="1" customWidth="1"/>
    <col min="6" max="6" width="17.5703125" style="255" bestFit="1" customWidth="1"/>
    <col min="7" max="7" width="20.85546875" style="255" bestFit="1" customWidth="1"/>
    <col min="8" max="8" width="20.5703125" style="255" bestFit="1" customWidth="1"/>
    <col min="9" max="9" width="14.28515625" style="255" bestFit="1" customWidth="1"/>
    <col min="10" max="10" width="14.7109375" style="255" bestFit="1" customWidth="1"/>
    <col min="11" max="11" width="16.28515625" style="255" bestFit="1" customWidth="1"/>
    <col min="12" max="12" width="33" style="255" bestFit="1" customWidth="1"/>
    <col min="13" max="13" width="39" style="255" bestFit="1" customWidth="1"/>
    <col min="14" max="14" width="3.85546875" style="255" customWidth="1"/>
    <col min="15" max="15" width="28.28515625" style="255" bestFit="1" customWidth="1"/>
    <col min="16" max="16" width="15.85546875" style="255" customWidth="1"/>
    <col min="17" max="17" width="14.85546875" style="255" customWidth="1"/>
    <col min="18" max="18" width="29" style="255" bestFit="1" customWidth="1"/>
    <col min="19" max="19" width="9.5703125" style="255" customWidth="1"/>
    <col min="20" max="20" width="11.5703125" style="255" customWidth="1"/>
    <col min="21" max="23" width="13.85546875" style="255" bestFit="1" customWidth="1"/>
    <col min="24" max="24" width="28.7109375" style="255" bestFit="1" customWidth="1"/>
    <col min="25" max="25" width="28.140625" style="255" bestFit="1" customWidth="1"/>
    <col min="26" max="26" width="11.5703125" style="255" bestFit="1" customWidth="1"/>
    <col min="27" max="27" width="20.140625" style="255" bestFit="1" customWidth="1"/>
    <col min="28" max="28" width="28.140625" style="255" bestFit="1" customWidth="1"/>
    <col min="29" max="29" width="20.140625" style="255" bestFit="1" customWidth="1"/>
    <col min="30" max="30" width="28.140625" style="255" bestFit="1" customWidth="1"/>
    <col min="31" max="16384" width="9.140625" style="255"/>
  </cols>
  <sheetData>
    <row r="2" spans="2:25" x14ac:dyDescent="0.25">
      <c r="B2" s="297" t="s">
        <v>224</v>
      </c>
    </row>
    <row r="3" spans="2:25" x14ac:dyDescent="0.25">
      <c r="B3" s="410" t="s">
        <v>223</v>
      </c>
      <c r="C3" s="34"/>
      <c r="D3" s="411"/>
      <c r="E3" s="34"/>
      <c r="F3" s="34"/>
      <c r="G3" s="34"/>
      <c r="H3" s="34"/>
      <c r="I3" s="34"/>
      <c r="J3" s="34"/>
      <c r="K3" s="34"/>
      <c r="L3" s="34"/>
      <c r="M3" s="34"/>
      <c r="N3" s="34"/>
      <c r="O3" s="306" t="s">
        <v>244</v>
      </c>
      <c r="P3" s="34"/>
      <c r="Q3" s="34"/>
      <c r="R3" s="34"/>
      <c r="S3" s="34"/>
      <c r="T3" s="34"/>
      <c r="U3" s="298"/>
      <c r="V3" s="298"/>
      <c r="W3" s="298"/>
      <c r="X3" s="298"/>
      <c r="Y3" s="298"/>
    </row>
    <row r="4" spans="2:25" x14ac:dyDescent="0.25">
      <c r="B4" s="300" t="s">
        <v>152</v>
      </c>
      <c r="C4" s="299" t="s">
        <v>263</v>
      </c>
      <c r="D4" s="300" t="s">
        <v>174</v>
      </c>
      <c r="E4" s="300" t="s">
        <v>216</v>
      </c>
      <c r="F4" s="300" t="s">
        <v>217</v>
      </c>
      <c r="G4" s="300" t="s">
        <v>175</v>
      </c>
      <c r="H4" s="300" t="s">
        <v>176</v>
      </c>
      <c r="I4" s="300" t="s">
        <v>177</v>
      </c>
      <c r="J4" s="412" t="s">
        <v>178</v>
      </c>
      <c r="K4" s="412" t="s">
        <v>179</v>
      </c>
      <c r="L4" s="300" t="s">
        <v>180</v>
      </c>
      <c r="M4" s="300" t="s">
        <v>181</v>
      </c>
      <c r="N4" s="34"/>
      <c r="O4" s="413" t="s">
        <v>190</v>
      </c>
      <c r="P4" s="413" t="s">
        <v>167</v>
      </c>
      <c r="Q4" s="413" t="s">
        <v>168</v>
      </c>
      <c r="R4" s="413" t="s">
        <v>193</v>
      </c>
      <c r="S4" s="413" t="s">
        <v>167</v>
      </c>
      <c r="T4" s="413" t="s">
        <v>168</v>
      </c>
    </row>
    <row r="5" spans="2:25" x14ac:dyDescent="0.25">
      <c r="B5" s="293"/>
      <c r="C5" s="118" t="s">
        <v>5</v>
      </c>
      <c r="D5" s="117">
        <v>26</v>
      </c>
      <c r="E5" s="117">
        <v>1.8095999999999999</v>
      </c>
      <c r="F5" s="117">
        <v>0.54010000000000002</v>
      </c>
      <c r="G5" s="117">
        <v>2.0773076923076925E-2</v>
      </c>
      <c r="H5" s="117">
        <v>21.675999999999998</v>
      </c>
      <c r="I5" s="117">
        <v>3.43</v>
      </c>
      <c r="J5" s="117"/>
      <c r="K5" s="117"/>
      <c r="L5" s="117"/>
      <c r="M5" s="205"/>
      <c r="N5" s="34"/>
      <c r="O5" s="422" t="s">
        <v>191</v>
      </c>
      <c r="P5" s="414">
        <f>AVERAGE(D5:D27)</f>
        <v>25.831739130434784</v>
      </c>
      <c r="Q5" s="415">
        <f>AVERAGE(D29:D54)</f>
        <v>27.668461538461539</v>
      </c>
      <c r="R5" s="422" t="s">
        <v>218</v>
      </c>
      <c r="S5" s="414">
        <f>AVERAGE(I5:I27)</f>
        <v>2.4038695652173909</v>
      </c>
      <c r="T5" s="415">
        <f>AVERAGE(I29:I54)</f>
        <v>4.9018461538461544</v>
      </c>
    </row>
    <row r="6" spans="2:25" x14ac:dyDescent="0.25">
      <c r="B6" s="293"/>
      <c r="C6" s="117" t="s">
        <v>6</v>
      </c>
      <c r="D6" s="117">
        <v>27</v>
      </c>
      <c r="E6" s="117">
        <v>1.3827</v>
      </c>
      <c r="F6" s="117">
        <v>0.3221</v>
      </c>
      <c r="G6" s="117">
        <v>1.192962962962963E-2</v>
      </c>
      <c r="H6" s="117">
        <v>24.439</v>
      </c>
      <c r="I6" s="117">
        <v>2.0550000000000002</v>
      </c>
      <c r="J6" s="117"/>
      <c r="K6" s="117"/>
      <c r="L6" s="117"/>
      <c r="M6" s="205"/>
      <c r="N6" s="34"/>
      <c r="O6" s="293" t="s">
        <v>22</v>
      </c>
      <c r="P6" s="416">
        <f>_xlfn.STDEV.S(D5:D27)</f>
        <v>1.6478406039803977</v>
      </c>
      <c r="Q6" s="163">
        <f>_xlfn.STDEV.S(D29:D54)</f>
        <v>2.1758817841191509</v>
      </c>
      <c r="R6" s="293" t="s">
        <v>22</v>
      </c>
      <c r="S6" s="239">
        <f>_xlfn.STDEV.S(I5:I27)</f>
        <v>0.63298989682787632</v>
      </c>
      <c r="T6" s="163">
        <f>_xlfn.STDEV.S(I29:I54)</f>
        <v>1.4103340793530454</v>
      </c>
    </row>
    <row r="7" spans="2:25" x14ac:dyDescent="0.25">
      <c r="B7" s="293"/>
      <c r="C7" s="117" t="s">
        <v>7</v>
      </c>
      <c r="D7" s="117">
        <v>26</v>
      </c>
      <c r="E7" s="117">
        <v>1.6816</v>
      </c>
      <c r="F7" s="117">
        <v>0.50509999999999999</v>
      </c>
      <c r="G7" s="117">
        <v>1.9426923076923078E-2</v>
      </c>
      <c r="H7" s="117">
        <v>22.452999999999999</v>
      </c>
      <c r="I7" s="117">
        <v>3.1989999999999998</v>
      </c>
      <c r="J7" s="117"/>
      <c r="K7" s="117"/>
      <c r="L7" s="117"/>
      <c r="M7" s="205"/>
      <c r="N7" s="34"/>
      <c r="O7" s="128" t="s">
        <v>192</v>
      </c>
      <c r="P7" s="417">
        <f>P6/(SQRT(23))</f>
        <v>0.34359851799842883</v>
      </c>
      <c r="Q7" s="417">
        <f>Q6/(SQRT(26))</f>
        <v>0.42672552601902441</v>
      </c>
      <c r="R7" s="423" t="s">
        <v>9</v>
      </c>
      <c r="S7" s="140">
        <f>S6/(SQRT(23))</f>
        <v>0.13198751744111284</v>
      </c>
      <c r="T7" s="24">
        <f>T6/(SQRT(26))</f>
        <v>0.27658926889638824</v>
      </c>
    </row>
    <row r="8" spans="2:25" x14ac:dyDescent="0.25">
      <c r="B8" s="293"/>
      <c r="C8" s="117" t="s">
        <v>8</v>
      </c>
      <c r="D8" s="117">
        <v>28</v>
      </c>
      <c r="E8" s="117">
        <v>1.6790999999999998</v>
      </c>
      <c r="F8" s="117">
        <v>0.28910000000000002</v>
      </c>
      <c r="G8" s="117">
        <v>1.0325000000000001E-2</v>
      </c>
      <c r="H8" s="117">
        <v>26.228999999999999</v>
      </c>
      <c r="I8" s="117">
        <v>1.75</v>
      </c>
      <c r="J8" s="117"/>
      <c r="K8" s="117"/>
      <c r="L8" s="117"/>
      <c r="M8" s="205"/>
      <c r="N8" s="34"/>
      <c r="O8" s="344" t="s">
        <v>219</v>
      </c>
      <c r="P8" s="418"/>
      <c r="Q8" s="240"/>
      <c r="R8" s="344" t="s">
        <v>219</v>
      </c>
      <c r="S8" s="418"/>
      <c r="T8" s="419"/>
    </row>
    <row r="9" spans="2:25" x14ac:dyDescent="0.25">
      <c r="B9" s="293"/>
      <c r="C9" s="117" t="s">
        <v>14</v>
      </c>
      <c r="D9" s="117">
        <v>28</v>
      </c>
      <c r="E9" s="117">
        <v>1.8237000000000001</v>
      </c>
      <c r="F9" s="117">
        <v>0.3266</v>
      </c>
      <c r="G9" s="117">
        <v>1.1664285714285714E-2</v>
      </c>
      <c r="H9" s="117">
        <v>25.776</v>
      </c>
      <c r="I9" s="117">
        <v>1.9850000000000001</v>
      </c>
      <c r="J9" s="117"/>
      <c r="K9" s="117"/>
      <c r="L9" s="117"/>
      <c r="M9" s="205"/>
      <c r="N9" s="34"/>
      <c r="O9" s="413" t="s">
        <v>229</v>
      </c>
      <c r="P9" s="413" t="s">
        <v>167</v>
      </c>
      <c r="Q9" s="413" t="s">
        <v>168</v>
      </c>
      <c r="R9" s="413" t="s">
        <v>225</v>
      </c>
      <c r="S9" s="413" t="s">
        <v>167</v>
      </c>
      <c r="T9" s="413" t="s">
        <v>168</v>
      </c>
    </row>
    <row r="10" spans="2:25" x14ac:dyDescent="0.25">
      <c r="B10" s="293"/>
      <c r="C10" s="117" t="s">
        <v>15</v>
      </c>
      <c r="D10" s="117">
        <v>27</v>
      </c>
      <c r="E10" s="117">
        <v>1.7846</v>
      </c>
      <c r="F10" s="117">
        <v>0.60560000000000003</v>
      </c>
      <c r="G10" s="117">
        <v>2.2429629629629629E-2</v>
      </c>
      <c r="H10" s="117">
        <v>25.776</v>
      </c>
      <c r="I10" s="117">
        <v>3.6659999999999999</v>
      </c>
      <c r="J10" s="117"/>
      <c r="K10" s="117"/>
      <c r="L10" s="117"/>
      <c r="M10" s="205"/>
      <c r="N10" s="34"/>
      <c r="O10" s="422" t="s">
        <v>218</v>
      </c>
      <c r="P10" s="414">
        <f>AVERAGE(F5:F27)</f>
        <v>0.3881178260869565</v>
      </c>
      <c r="Q10" s="415">
        <f>AVERAGE(F29:F54)</f>
        <v>0.79392799999999997</v>
      </c>
      <c r="R10" s="422" t="s">
        <v>218</v>
      </c>
      <c r="S10" s="414">
        <f>AVERAGE(H5:H27)</f>
        <v>23.375347826086955</v>
      </c>
      <c r="T10" s="415">
        <f>AVERAGE(H29:H54)</f>
        <v>22.714038461538468</v>
      </c>
    </row>
    <row r="11" spans="2:25" x14ac:dyDescent="0.25">
      <c r="B11" s="293"/>
      <c r="C11" s="117" t="s">
        <v>19</v>
      </c>
      <c r="D11" s="117">
        <v>25</v>
      </c>
      <c r="E11" s="117">
        <v>1.4196</v>
      </c>
      <c r="F11" s="117">
        <v>0.3397</v>
      </c>
      <c r="G11" s="117">
        <v>1.3587999999999999E-2</v>
      </c>
      <c r="H11" s="117">
        <v>23.228000000000002</v>
      </c>
      <c r="I11" s="117">
        <v>2.742</v>
      </c>
      <c r="J11" s="117"/>
      <c r="K11" s="117"/>
      <c r="L11" s="117"/>
      <c r="M11" s="205"/>
      <c r="N11" s="34"/>
      <c r="O11" s="293" t="s">
        <v>22</v>
      </c>
      <c r="P11" s="416">
        <f>_xlfn.STDEV.S(F5:F27)</f>
        <v>0.10923705514973645</v>
      </c>
      <c r="Q11" s="163">
        <f>_xlfn.STDEV.S(F29:F54)</f>
        <v>0.37736398931712306</v>
      </c>
      <c r="R11" s="293" t="s">
        <v>22</v>
      </c>
      <c r="S11" s="239">
        <f>_xlfn.STDEV.S(H5:H27)</f>
        <v>1.6660350757165305</v>
      </c>
      <c r="T11" s="163">
        <f>_xlfn.STDEV.S(H29:H54)</f>
        <v>1.5293155719018683</v>
      </c>
    </row>
    <row r="12" spans="2:25" x14ac:dyDescent="0.25">
      <c r="B12" s="293"/>
      <c r="C12" s="117" t="s">
        <v>21</v>
      </c>
      <c r="D12" s="117">
        <v>28</v>
      </c>
      <c r="E12" s="117">
        <v>1.7657</v>
      </c>
      <c r="F12" s="117">
        <v>0.53959999999999997</v>
      </c>
      <c r="G12" s="117">
        <v>1.9271428571428571E-2</v>
      </c>
      <c r="H12" s="117">
        <v>22.145</v>
      </c>
      <c r="I12" s="117">
        <v>3.5640000000000001</v>
      </c>
      <c r="J12" s="117"/>
      <c r="K12" s="117"/>
      <c r="L12" s="117"/>
      <c r="M12" s="205"/>
      <c r="N12" s="34"/>
      <c r="O12" s="423" t="s">
        <v>9</v>
      </c>
      <c r="P12" s="417">
        <f>P11/(SQRT(23))</f>
        <v>2.2777500547867657E-2</v>
      </c>
      <c r="Q12" s="417">
        <f>Q11/(SQRT(25))</f>
        <v>7.5472797863424618E-2</v>
      </c>
      <c r="R12" s="128" t="s">
        <v>9</v>
      </c>
      <c r="S12" s="140">
        <f>S11/(SQRT(23))</f>
        <v>0.34739232761156658</v>
      </c>
      <c r="T12" s="24">
        <f>T11/(SQRT(26))</f>
        <v>0.29992345936803599</v>
      </c>
    </row>
    <row r="13" spans="2:25" x14ac:dyDescent="0.25">
      <c r="B13" s="293"/>
      <c r="C13" s="117" t="s">
        <v>23</v>
      </c>
      <c r="D13" s="117">
        <v>29</v>
      </c>
      <c r="E13" s="117">
        <v>1.8039000000000001</v>
      </c>
      <c r="F13" s="117">
        <v>0.55279999999999996</v>
      </c>
      <c r="G13" s="117">
        <v>1.9062068965517241E-2</v>
      </c>
      <c r="H13" s="117">
        <v>25.675999999999998</v>
      </c>
      <c r="I13" s="117">
        <v>3.03</v>
      </c>
      <c r="J13" s="117"/>
      <c r="K13" s="117"/>
      <c r="L13" s="117"/>
      <c r="M13" s="205"/>
      <c r="N13" s="34"/>
      <c r="O13" s="344" t="s">
        <v>221</v>
      </c>
      <c r="P13" s="420"/>
      <c r="Q13" s="240"/>
      <c r="R13" s="344" t="s">
        <v>219</v>
      </c>
      <c r="S13" s="418"/>
      <c r="T13" s="20"/>
    </row>
    <row r="14" spans="2:25" x14ac:dyDescent="0.25">
      <c r="B14" s="293"/>
      <c r="C14" s="117" t="s">
        <v>24</v>
      </c>
      <c r="D14" s="117">
        <v>27.13</v>
      </c>
      <c r="E14" s="117">
        <v>1.69</v>
      </c>
      <c r="F14" s="117">
        <v>0.37</v>
      </c>
      <c r="G14" s="117">
        <f t="shared" ref="G14:G23" si="0">F14/D14</f>
        <v>1.363803907113896E-2</v>
      </c>
      <c r="H14" s="117">
        <v>24.998000000000001</v>
      </c>
      <c r="I14" s="117">
        <v>2.0529999999999999</v>
      </c>
      <c r="J14" s="117">
        <v>8.9999999999999993E-3</v>
      </c>
      <c r="K14" s="117">
        <v>1.536</v>
      </c>
      <c r="L14" s="117">
        <v>224</v>
      </c>
      <c r="M14" s="205">
        <v>0.875</v>
      </c>
      <c r="N14" s="34"/>
      <c r="O14" s="413" t="s">
        <v>228</v>
      </c>
      <c r="P14" s="413" t="s">
        <v>167</v>
      </c>
      <c r="Q14" s="413" t="s">
        <v>168</v>
      </c>
      <c r="R14" s="413" t="s">
        <v>226</v>
      </c>
      <c r="S14" s="413" t="s">
        <v>167</v>
      </c>
      <c r="T14" s="413" t="s">
        <v>168</v>
      </c>
    </row>
    <row r="15" spans="2:25" x14ac:dyDescent="0.25">
      <c r="B15" s="293"/>
      <c r="C15" s="117" t="s">
        <v>26</v>
      </c>
      <c r="D15" s="117">
        <v>26.83</v>
      </c>
      <c r="E15" s="117">
        <v>1.58</v>
      </c>
      <c r="F15" s="117">
        <v>0.4</v>
      </c>
      <c r="G15" s="117">
        <f t="shared" si="0"/>
        <v>1.4908684308609766E-2</v>
      </c>
      <c r="H15" s="117">
        <v>24.698</v>
      </c>
      <c r="I15" s="117">
        <v>2.1989999999999998</v>
      </c>
      <c r="J15" s="117">
        <v>6.0000000000000001E-3</v>
      </c>
      <c r="K15" s="117">
        <v>1.4970000000000001</v>
      </c>
      <c r="L15" s="117">
        <v>191</v>
      </c>
      <c r="M15" s="205">
        <v>0.92500000000000004</v>
      </c>
      <c r="N15" s="34"/>
      <c r="O15" s="422" t="s">
        <v>218</v>
      </c>
      <c r="P15" s="414">
        <f>AVERAGE(E5:E27)</f>
        <v>1.5779478260869566</v>
      </c>
      <c r="Q15" s="415">
        <f>AVERAGE(E29:E54)</f>
        <v>1.5099639999999999</v>
      </c>
      <c r="R15" s="422" t="s">
        <v>191</v>
      </c>
      <c r="S15" s="414">
        <f>AVERAGE(L14:L27)</f>
        <v>191.85714285714286</v>
      </c>
      <c r="T15" s="415">
        <f>AVERAGE(L40:L54)</f>
        <v>208.46666666666667</v>
      </c>
    </row>
    <row r="16" spans="2:25" x14ac:dyDescent="0.25">
      <c r="B16" s="293"/>
      <c r="C16" s="117" t="s">
        <v>27</v>
      </c>
      <c r="D16" s="117">
        <v>22.92</v>
      </c>
      <c r="E16" s="117">
        <v>1.48</v>
      </c>
      <c r="F16" s="117">
        <v>0.21</v>
      </c>
      <c r="G16" s="117">
        <f t="shared" si="0"/>
        <v>9.1623036649214652E-3</v>
      </c>
      <c r="H16" s="117">
        <v>21.064</v>
      </c>
      <c r="I16" s="117">
        <v>1.7989999999999999</v>
      </c>
      <c r="J16" s="117">
        <v>4.0000000000000001E-3</v>
      </c>
      <c r="K16" s="117">
        <v>1.27</v>
      </c>
      <c r="L16" s="117">
        <v>167</v>
      </c>
      <c r="M16" s="205">
        <v>0.58899999999999997</v>
      </c>
      <c r="N16" s="34"/>
      <c r="O16" s="293" t="s">
        <v>22</v>
      </c>
      <c r="P16" s="421">
        <f>_xlfn.STDEV.S(E5:E27)</f>
        <v>0.17127161540973188</v>
      </c>
      <c r="Q16" s="163">
        <f>_xlfn.STDEV.S(E29:E54)</f>
        <v>0.24344573467886793</v>
      </c>
      <c r="R16" s="293" t="s">
        <v>22</v>
      </c>
      <c r="S16" s="416">
        <f>_xlfn.STDEV.S(L14:L27)</f>
        <v>62.085371921197385</v>
      </c>
      <c r="T16" s="163">
        <f>_xlfn.STDEV.S(L40:L54)</f>
        <v>37.926369768401507</v>
      </c>
      <c r="W16" s="303"/>
    </row>
    <row r="17" spans="2:20" x14ac:dyDescent="0.25">
      <c r="B17" s="293"/>
      <c r="C17" s="117" t="s">
        <v>28</v>
      </c>
      <c r="D17" s="117">
        <v>24.15</v>
      </c>
      <c r="E17" s="117">
        <v>1.49</v>
      </c>
      <c r="F17" s="117">
        <v>0.46</v>
      </c>
      <c r="G17" s="117">
        <f t="shared" si="0"/>
        <v>1.9047619047619049E-2</v>
      </c>
      <c r="H17" s="117">
        <v>21.620999999999999</v>
      </c>
      <c r="I17" s="117">
        <v>2.5739999999999998</v>
      </c>
      <c r="J17" s="117">
        <v>0.01</v>
      </c>
      <c r="K17" s="117">
        <v>1.3</v>
      </c>
      <c r="L17" s="117">
        <v>201</v>
      </c>
      <c r="M17" s="205">
        <v>0.89100000000000001</v>
      </c>
      <c r="N17" s="34"/>
      <c r="O17" s="423" t="s">
        <v>9</v>
      </c>
      <c r="P17" s="417">
        <f>P16/(SQRT(23))</f>
        <v>3.5712600531768904E-2</v>
      </c>
      <c r="Q17" s="417">
        <f>Q16/(SQRT(25))</f>
        <v>4.8689146935773586E-2</v>
      </c>
      <c r="R17" s="128" t="s">
        <v>9</v>
      </c>
      <c r="S17" s="417">
        <f>S16/(SQRT(14))</f>
        <v>16.593013604253976</v>
      </c>
      <c r="T17" s="24">
        <f>T16/(SQRT(15))</f>
        <v>9.7925465663415654</v>
      </c>
    </row>
    <row r="18" spans="2:20" x14ac:dyDescent="0.25">
      <c r="B18" s="293"/>
      <c r="C18" s="117" t="s">
        <v>30</v>
      </c>
      <c r="D18" s="117">
        <v>24.69</v>
      </c>
      <c r="E18" s="117">
        <v>1.59</v>
      </c>
      <c r="F18" s="117">
        <v>0.34</v>
      </c>
      <c r="G18" s="117">
        <f t="shared" si="0"/>
        <v>1.3770757391656542E-2</v>
      </c>
      <c r="H18" s="117">
        <v>22.692</v>
      </c>
      <c r="I18" s="117">
        <v>2.0590000000000002</v>
      </c>
      <c r="J18" s="117">
        <v>6.0000000000000001E-3</v>
      </c>
      <c r="K18" s="117">
        <v>1.38</v>
      </c>
      <c r="L18" s="117">
        <v>183</v>
      </c>
      <c r="M18" s="205">
        <v>0.77800000000000002</v>
      </c>
      <c r="N18" s="345"/>
      <c r="O18" s="344" t="s">
        <v>221</v>
      </c>
      <c r="P18" s="420"/>
      <c r="Q18" s="240"/>
      <c r="R18" s="344" t="s">
        <v>220</v>
      </c>
      <c r="S18" s="420"/>
      <c r="T18" s="419"/>
    </row>
    <row r="19" spans="2:20" x14ac:dyDescent="0.25">
      <c r="B19" s="293"/>
      <c r="C19" s="117" t="s">
        <v>31</v>
      </c>
      <c r="D19" s="117">
        <v>24.17</v>
      </c>
      <c r="E19" s="117">
        <v>1.46</v>
      </c>
      <c r="F19" s="117">
        <v>0.47</v>
      </c>
      <c r="G19" s="117">
        <f t="shared" si="0"/>
        <v>1.9445593711212242E-2</v>
      </c>
      <c r="H19" s="117">
        <v>21.722999999999999</v>
      </c>
      <c r="I19" s="117">
        <v>2.0609999999999999</v>
      </c>
      <c r="J19" s="117">
        <v>4.0000000000000001E-3</v>
      </c>
      <c r="K19" s="117">
        <v>1.373</v>
      </c>
      <c r="L19" s="117">
        <v>156</v>
      </c>
      <c r="M19" s="205">
        <v>0.77800000000000002</v>
      </c>
      <c r="N19" s="34"/>
      <c r="O19" s="34"/>
      <c r="P19" s="34"/>
      <c r="Q19" s="34"/>
      <c r="R19" s="413" t="s">
        <v>227</v>
      </c>
      <c r="S19" s="413" t="s">
        <v>167</v>
      </c>
      <c r="T19" s="413" t="s">
        <v>168</v>
      </c>
    </row>
    <row r="20" spans="2:20" x14ac:dyDescent="0.25">
      <c r="B20" s="293"/>
      <c r="C20" s="117" t="s">
        <v>32</v>
      </c>
      <c r="D20" s="117">
        <v>25.39</v>
      </c>
      <c r="E20" s="117">
        <v>1.49</v>
      </c>
      <c r="F20" s="117">
        <v>0.2</v>
      </c>
      <c r="G20" s="117">
        <f t="shared" si="0"/>
        <v>7.8771169751870821E-3</v>
      </c>
      <c r="H20" s="117">
        <v>23.378</v>
      </c>
      <c r="I20" s="117">
        <v>1.6930000000000001</v>
      </c>
      <c r="J20" s="117">
        <v>1.2E-2</v>
      </c>
      <c r="K20" s="117">
        <v>1.4350000000000001</v>
      </c>
      <c r="L20" s="117">
        <v>189</v>
      </c>
      <c r="M20" s="205">
        <v>0.54100000000000004</v>
      </c>
      <c r="N20" s="34"/>
      <c r="O20" s="34"/>
      <c r="P20" s="34"/>
      <c r="Q20" s="34"/>
      <c r="R20" s="422" t="s">
        <v>218</v>
      </c>
      <c r="S20" s="414">
        <f>AVERAGE(M14:M23)</f>
        <v>0.82010000000000005</v>
      </c>
      <c r="T20" s="415">
        <f>AVERAGE(M40:M49)</f>
        <v>1.0106999999999997</v>
      </c>
    </row>
    <row r="21" spans="2:20" x14ac:dyDescent="0.25">
      <c r="B21" s="293"/>
      <c r="C21" s="117" t="s">
        <v>33</v>
      </c>
      <c r="D21" s="117">
        <v>25.16</v>
      </c>
      <c r="E21" s="117">
        <v>1.45</v>
      </c>
      <c r="F21" s="117">
        <v>0.24</v>
      </c>
      <c r="G21" s="117">
        <f t="shared" si="0"/>
        <v>9.538950715421303E-3</v>
      </c>
      <c r="H21" s="117">
        <v>23.978999999999999</v>
      </c>
      <c r="I21" s="117">
        <v>1.4610000000000001</v>
      </c>
      <c r="J21" s="117">
        <v>6.0000000000000001E-3</v>
      </c>
      <c r="K21" s="117">
        <v>1.425</v>
      </c>
      <c r="L21" s="117">
        <v>138</v>
      </c>
      <c r="M21" s="205">
        <v>0.63100000000000001</v>
      </c>
      <c r="N21" s="34"/>
      <c r="O21" s="34"/>
      <c r="P21" s="34"/>
      <c r="Q21" s="34"/>
      <c r="R21" s="293" t="s">
        <v>22</v>
      </c>
      <c r="S21" s="416">
        <f>_xlfn.STDEV.S(M14:M23)</f>
        <v>0.19521808317878755</v>
      </c>
      <c r="T21" s="163">
        <f>_xlfn.STDEV.S(M40:M49)</f>
        <v>0.15284781828850583</v>
      </c>
    </row>
    <row r="22" spans="2:20" x14ac:dyDescent="0.25">
      <c r="B22" s="293"/>
      <c r="C22" s="117" t="s">
        <v>34</v>
      </c>
      <c r="D22" s="117">
        <v>23.64</v>
      </c>
      <c r="E22" s="117">
        <v>1.31</v>
      </c>
      <c r="F22" s="117">
        <v>0.34</v>
      </c>
      <c r="G22" s="117">
        <f t="shared" si="0"/>
        <v>1.4382402707275805E-2</v>
      </c>
      <c r="H22" s="117">
        <v>21.359000000000002</v>
      </c>
      <c r="I22" s="117">
        <v>2.2829999999999999</v>
      </c>
      <c r="J22" s="117">
        <v>7.0000000000000001E-3</v>
      </c>
      <c r="K22" s="117">
        <v>1.3080000000000001</v>
      </c>
      <c r="L22" s="117">
        <v>257</v>
      </c>
      <c r="M22" s="205">
        <v>1.08</v>
      </c>
      <c r="N22" s="34"/>
      <c r="O22" s="34"/>
      <c r="P22" s="34"/>
      <c r="Q22" s="34"/>
      <c r="R22" s="128" t="s">
        <v>9</v>
      </c>
      <c r="S22" s="417">
        <f>S21/(SQRT(10))</f>
        <v>6.1733378329717231E-2</v>
      </c>
      <c r="T22" s="24">
        <f>T21/(SQRT(10))</f>
        <v>4.8334724117921779E-2</v>
      </c>
    </row>
    <row r="23" spans="2:20" x14ac:dyDescent="0.25">
      <c r="B23" s="293"/>
      <c r="C23" s="117" t="s">
        <v>182</v>
      </c>
      <c r="D23" s="117">
        <v>24.05</v>
      </c>
      <c r="E23" s="117">
        <v>1.35</v>
      </c>
      <c r="F23" s="117">
        <v>0.4</v>
      </c>
      <c r="G23" s="117">
        <f t="shared" si="0"/>
        <v>1.6632016632016633E-2</v>
      </c>
      <c r="H23" s="117">
        <v>21.998000000000001</v>
      </c>
      <c r="I23" s="117">
        <v>2.552</v>
      </c>
      <c r="J23" s="117">
        <v>7.0000000000000001E-3</v>
      </c>
      <c r="K23" s="117">
        <v>1.3129999999999999</v>
      </c>
      <c r="L23" s="117">
        <v>215</v>
      </c>
      <c r="M23" s="205">
        <v>1.113</v>
      </c>
      <c r="N23" s="34"/>
      <c r="O23" s="34"/>
      <c r="P23" s="34"/>
      <c r="Q23" s="34"/>
      <c r="R23" s="344" t="s">
        <v>222</v>
      </c>
      <c r="S23" s="424"/>
      <c r="T23" s="240"/>
    </row>
    <row r="24" spans="2:20" x14ac:dyDescent="0.25">
      <c r="B24" s="293"/>
      <c r="C24" s="117" t="s">
        <v>183</v>
      </c>
      <c r="D24" s="117">
        <v>25</v>
      </c>
      <c r="E24" s="117">
        <v>1.7387000000000001</v>
      </c>
      <c r="F24" s="117">
        <v>0.36410999999999999</v>
      </c>
      <c r="G24" s="117">
        <f>F24/D24</f>
        <v>1.45644E-2</v>
      </c>
      <c r="H24" s="117">
        <v>23.523</v>
      </c>
      <c r="I24" s="117">
        <v>1.9039999999999999</v>
      </c>
      <c r="J24" s="117"/>
      <c r="K24" s="117"/>
      <c r="L24" s="117">
        <v>120</v>
      </c>
      <c r="M24" s="205"/>
      <c r="N24" s="34"/>
      <c r="O24" s="34"/>
      <c r="P24" s="34"/>
      <c r="Q24" s="34"/>
      <c r="R24" s="34"/>
      <c r="S24" s="34"/>
      <c r="T24" s="34"/>
    </row>
    <row r="25" spans="2:20" x14ac:dyDescent="0.25">
      <c r="B25" s="293"/>
      <c r="C25" s="117" t="s">
        <v>184</v>
      </c>
      <c r="D25" s="117">
        <v>27</v>
      </c>
      <c r="E25" s="117">
        <v>1.6257000000000001</v>
      </c>
      <c r="F25" s="117">
        <v>0.36939999999999995</v>
      </c>
      <c r="G25" s="117">
        <f t="shared" ref="G25:G27" si="1">F25/D25</f>
        <v>1.368148148148148E-2</v>
      </c>
      <c r="H25" s="117">
        <v>24.713999999999999</v>
      </c>
      <c r="I25" s="117">
        <v>1.853</v>
      </c>
      <c r="J25" s="117"/>
      <c r="K25" s="117"/>
      <c r="L25" s="117">
        <v>159</v>
      </c>
      <c r="M25" s="205"/>
      <c r="N25" s="34"/>
      <c r="O25" s="34"/>
      <c r="P25" s="34"/>
      <c r="Q25" s="34"/>
      <c r="R25" s="34"/>
      <c r="S25" s="34"/>
      <c r="T25" s="34"/>
    </row>
    <row r="26" spans="2:20" x14ac:dyDescent="0.25">
      <c r="B26" s="293"/>
      <c r="C26" s="117" t="s">
        <v>185</v>
      </c>
      <c r="D26" s="117">
        <v>26</v>
      </c>
      <c r="E26" s="117">
        <v>1.6204000000000001</v>
      </c>
      <c r="F26" s="117">
        <v>0.35680000000000001</v>
      </c>
      <c r="G26" s="117">
        <f t="shared" si="1"/>
        <v>1.3723076923076923E-2</v>
      </c>
      <c r="H26" s="117">
        <v>23.468</v>
      </c>
      <c r="I26" s="117">
        <v>2.5960000000000001</v>
      </c>
      <c r="J26" s="117"/>
      <c r="K26" s="117"/>
      <c r="L26" s="117">
        <v>125</v>
      </c>
      <c r="M26" s="205"/>
      <c r="N26" s="34"/>
      <c r="O26" s="34"/>
      <c r="P26" s="34"/>
      <c r="Q26" s="34"/>
      <c r="R26" s="34"/>
      <c r="S26" s="34"/>
      <c r="T26" s="34"/>
    </row>
    <row r="27" spans="2:20" x14ac:dyDescent="0.25">
      <c r="B27" s="344"/>
      <c r="C27" s="420" t="s">
        <v>186</v>
      </c>
      <c r="D27" s="420">
        <v>24</v>
      </c>
      <c r="E27" s="420">
        <v>1.2675000000000001</v>
      </c>
      <c r="F27" s="420">
        <v>0.38569999999999999</v>
      </c>
      <c r="G27" s="420">
        <f t="shared" si="1"/>
        <v>1.6070833333333333E-2</v>
      </c>
      <c r="H27" s="420">
        <v>21.02</v>
      </c>
      <c r="I27" s="420">
        <v>2.7810000000000001</v>
      </c>
      <c r="J27" s="420"/>
      <c r="K27" s="420"/>
      <c r="L27" s="420">
        <v>361</v>
      </c>
      <c r="M27" s="240"/>
      <c r="N27" s="34"/>
      <c r="O27" s="34"/>
      <c r="P27" s="34"/>
      <c r="Q27" s="34"/>
      <c r="R27" s="34"/>
      <c r="S27" s="34"/>
      <c r="T27" s="34"/>
    </row>
    <row r="28" spans="2:20" x14ac:dyDescent="0.25">
      <c r="B28" s="318" t="s">
        <v>10</v>
      </c>
      <c r="C28" s="299" t="s">
        <v>263</v>
      </c>
      <c r="D28" s="300" t="s">
        <v>174</v>
      </c>
      <c r="E28" s="300" t="s">
        <v>216</v>
      </c>
      <c r="F28" s="412" t="s">
        <v>217</v>
      </c>
      <c r="G28" s="412" t="s">
        <v>175</v>
      </c>
      <c r="H28" s="412" t="s">
        <v>176</v>
      </c>
      <c r="I28" s="412" t="s">
        <v>177</v>
      </c>
      <c r="J28" s="412" t="s">
        <v>178</v>
      </c>
      <c r="K28" s="412" t="s">
        <v>179</v>
      </c>
      <c r="L28" s="300" t="s">
        <v>180</v>
      </c>
      <c r="M28" s="300" t="s">
        <v>181</v>
      </c>
      <c r="N28" s="34"/>
      <c r="O28" s="34"/>
      <c r="P28" s="34"/>
      <c r="Q28" s="34"/>
      <c r="R28" s="34"/>
      <c r="S28" s="34"/>
      <c r="T28" s="34"/>
    </row>
    <row r="29" spans="2:20" x14ac:dyDescent="0.25">
      <c r="B29" s="293"/>
      <c r="C29" s="118" t="s">
        <v>5</v>
      </c>
      <c r="D29" s="118">
        <v>29</v>
      </c>
      <c r="E29" s="118">
        <v>1.6262000000000001</v>
      </c>
      <c r="F29" s="118">
        <v>0.4627</v>
      </c>
      <c r="G29" s="118">
        <v>1.5955172413793104E-2</v>
      </c>
      <c r="H29" s="118">
        <v>25.206</v>
      </c>
      <c r="I29" s="118">
        <v>4.0549999999999997</v>
      </c>
      <c r="J29" s="118"/>
      <c r="K29" s="118"/>
      <c r="L29" s="118"/>
      <c r="M29" s="263"/>
      <c r="N29" s="34"/>
      <c r="O29" s="34"/>
      <c r="P29" s="34"/>
      <c r="Q29" s="34"/>
      <c r="R29" s="34"/>
      <c r="S29" s="34"/>
      <c r="T29" s="34"/>
    </row>
    <row r="30" spans="2:20" x14ac:dyDescent="0.25">
      <c r="B30" s="293"/>
      <c r="C30" s="117" t="s">
        <v>6</v>
      </c>
      <c r="D30" s="117">
        <v>29</v>
      </c>
      <c r="E30" s="117">
        <v>1.6174000000000002</v>
      </c>
      <c r="F30" s="117">
        <v>0.79089999999999994</v>
      </c>
      <c r="G30" s="117">
        <v>2.7272413793103446E-2</v>
      </c>
      <c r="H30" s="117">
        <v>24.283000000000001</v>
      </c>
      <c r="I30" s="117">
        <v>4.907</v>
      </c>
      <c r="J30" s="117"/>
      <c r="K30" s="117"/>
      <c r="L30" s="117"/>
      <c r="M30" s="205"/>
      <c r="N30" s="34"/>
      <c r="O30" s="34"/>
      <c r="P30" s="34"/>
      <c r="Q30" s="34"/>
      <c r="R30" s="34"/>
      <c r="S30" s="34"/>
      <c r="T30" s="34"/>
    </row>
    <row r="31" spans="2:20" x14ac:dyDescent="0.25">
      <c r="B31" s="293"/>
      <c r="C31" s="117" t="s">
        <v>7</v>
      </c>
      <c r="D31" s="117">
        <v>29</v>
      </c>
      <c r="E31" s="117">
        <v>1.1473</v>
      </c>
      <c r="F31" s="117">
        <v>0.61639999999999995</v>
      </c>
      <c r="G31" s="117">
        <v>2.1255172413793103E-2</v>
      </c>
      <c r="H31" s="117">
        <v>23.957000000000001</v>
      </c>
      <c r="I31" s="117">
        <v>4.2009999999999996</v>
      </c>
      <c r="J31" s="117"/>
      <c r="K31" s="117"/>
      <c r="L31" s="117"/>
      <c r="M31" s="205"/>
      <c r="N31" s="345"/>
      <c r="O31" s="34"/>
      <c r="P31" s="34"/>
      <c r="Q31" s="34"/>
      <c r="R31" s="34"/>
      <c r="S31" s="34"/>
      <c r="T31" s="34"/>
    </row>
    <row r="32" spans="2:20" x14ac:dyDescent="0.25">
      <c r="B32" s="293"/>
      <c r="C32" s="117" t="s">
        <v>8</v>
      </c>
      <c r="D32" s="117">
        <v>23</v>
      </c>
      <c r="E32" s="117">
        <v>1.2581</v>
      </c>
      <c r="F32" s="117">
        <v>0.35010000000000002</v>
      </c>
      <c r="G32" s="117">
        <v>1.5221739130434784E-2</v>
      </c>
      <c r="H32" s="117">
        <v>24.86</v>
      </c>
      <c r="I32" s="117">
        <v>1.9590000000000001</v>
      </c>
      <c r="J32" s="117"/>
      <c r="K32" s="117"/>
      <c r="L32" s="117"/>
      <c r="M32" s="205"/>
      <c r="N32" s="34"/>
      <c r="O32" s="34"/>
      <c r="P32" s="34"/>
      <c r="Q32" s="34"/>
      <c r="R32" s="34"/>
      <c r="S32" s="34"/>
      <c r="T32" s="34"/>
    </row>
    <row r="33" spans="2:20" x14ac:dyDescent="0.25">
      <c r="B33" s="293"/>
      <c r="C33" s="117" t="s">
        <v>14</v>
      </c>
      <c r="D33" s="117">
        <v>32</v>
      </c>
      <c r="E33" s="117">
        <v>1.8266</v>
      </c>
      <c r="F33" s="117">
        <v>1.0114000000000001</v>
      </c>
      <c r="G33" s="117">
        <v>3.1606250000000002E-2</v>
      </c>
      <c r="H33" s="117">
        <v>20.914999999999999</v>
      </c>
      <c r="I33" s="117">
        <v>7.0839999999999996</v>
      </c>
      <c r="J33" s="117"/>
      <c r="K33" s="117"/>
      <c r="L33" s="117"/>
      <c r="M33" s="205"/>
      <c r="N33" s="34"/>
      <c r="O33" s="34"/>
      <c r="P33" s="34"/>
      <c r="Q33" s="34"/>
      <c r="R33" s="34"/>
      <c r="S33" s="34"/>
      <c r="T33" s="34"/>
    </row>
    <row r="34" spans="2:20" x14ac:dyDescent="0.25">
      <c r="B34" s="293"/>
      <c r="C34" s="117" t="s">
        <v>15</v>
      </c>
      <c r="D34" s="117">
        <v>33</v>
      </c>
      <c r="E34" s="117">
        <v>1.9438</v>
      </c>
      <c r="F34" s="117">
        <v>1.2934000000000001</v>
      </c>
      <c r="G34" s="117">
        <v>3.9193939393939399E-2</v>
      </c>
      <c r="H34" s="117">
        <v>25.199000000000002</v>
      </c>
      <c r="I34" s="117">
        <v>7.7130000000000001</v>
      </c>
      <c r="J34" s="117"/>
      <c r="K34" s="117"/>
      <c r="L34" s="117"/>
      <c r="M34" s="205"/>
      <c r="N34" s="34"/>
      <c r="O34" s="34"/>
      <c r="P34" s="34"/>
      <c r="Q34" s="34"/>
      <c r="R34" s="34"/>
      <c r="S34" s="34"/>
      <c r="T34" s="34"/>
    </row>
    <row r="35" spans="2:20" x14ac:dyDescent="0.25">
      <c r="B35" s="293"/>
      <c r="C35" s="117" t="s">
        <v>19</v>
      </c>
      <c r="D35" s="117">
        <v>26</v>
      </c>
      <c r="E35" s="117"/>
      <c r="F35" s="117"/>
      <c r="G35" s="117"/>
      <c r="H35" s="117">
        <v>20.148</v>
      </c>
      <c r="I35" s="117">
        <v>5.5519999999999996</v>
      </c>
      <c r="J35" s="117"/>
      <c r="K35" s="117"/>
      <c r="L35" s="117"/>
      <c r="M35" s="205"/>
      <c r="N35" s="34"/>
      <c r="O35" s="34"/>
      <c r="P35" s="34"/>
      <c r="Q35" s="34"/>
      <c r="R35" s="34"/>
      <c r="S35" s="34"/>
      <c r="T35" s="34"/>
    </row>
    <row r="36" spans="2:20" x14ac:dyDescent="0.25">
      <c r="B36" s="293"/>
      <c r="C36" s="117" t="s">
        <v>21</v>
      </c>
      <c r="D36" s="117">
        <v>28</v>
      </c>
      <c r="E36" s="117">
        <v>1.5842000000000001</v>
      </c>
      <c r="F36" s="117">
        <v>1.5842000000000001</v>
      </c>
      <c r="G36" s="117">
        <v>5.6578571428571429E-2</v>
      </c>
      <c r="H36" s="117">
        <v>21.138999999999999</v>
      </c>
      <c r="I36" s="117">
        <v>5.7839999999999998</v>
      </c>
      <c r="J36" s="117"/>
      <c r="K36" s="117"/>
      <c r="L36" s="117"/>
      <c r="M36" s="205"/>
      <c r="N36" s="34"/>
      <c r="O36" s="34"/>
      <c r="P36" s="34"/>
      <c r="Q36" s="34"/>
      <c r="R36" s="34"/>
      <c r="S36" s="34"/>
      <c r="T36" s="34"/>
    </row>
    <row r="37" spans="2:20" x14ac:dyDescent="0.25">
      <c r="B37" s="293"/>
      <c r="C37" s="117" t="s">
        <v>23</v>
      </c>
      <c r="D37" s="117">
        <v>28</v>
      </c>
      <c r="E37" s="117">
        <v>1.375</v>
      </c>
      <c r="F37" s="117">
        <v>1.375</v>
      </c>
      <c r="G37" s="117">
        <v>4.9107142857142856E-2</v>
      </c>
      <c r="H37" s="117">
        <v>22.228000000000002</v>
      </c>
      <c r="I37" s="117">
        <v>5.6680000000000001</v>
      </c>
      <c r="J37" s="117"/>
      <c r="K37" s="117"/>
      <c r="L37" s="117"/>
      <c r="M37" s="205"/>
      <c r="N37" s="34"/>
      <c r="O37" s="34"/>
      <c r="P37" s="34"/>
      <c r="Q37" s="34"/>
      <c r="R37" s="34"/>
      <c r="S37" s="34"/>
      <c r="T37" s="34"/>
    </row>
    <row r="38" spans="2:20" x14ac:dyDescent="0.25">
      <c r="B38" s="293"/>
      <c r="C38" s="117" t="s">
        <v>24</v>
      </c>
      <c r="D38" s="117">
        <v>31</v>
      </c>
      <c r="E38" s="117">
        <v>1.6837</v>
      </c>
      <c r="F38" s="117">
        <v>1.6837</v>
      </c>
      <c r="G38" s="117">
        <v>5.4312903225806453E-2</v>
      </c>
      <c r="H38" s="117">
        <v>22.978999999999999</v>
      </c>
      <c r="I38" s="117">
        <v>7.3310000000000004</v>
      </c>
      <c r="J38" s="117"/>
      <c r="K38" s="117"/>
      <c r="L38" s="117"/>
      <c r="M38" s="205"/>
      <c r="N38" s="34"/>
      <c r="O38" s="345"/>
      <c r="P38" s="345"/>
      <c r="Q38" s="34"/>
      <c r="R38" s="34"/>
      <c r="S38" s="34"/>
      <c r="T38" s="34"/>
    </row>
    <row r="39" spans="2:20" x14ac:dyDescent="0.25">
      <c r="B39" s="293"/>
      <c r="C39" s="117" t="s">
        <v>26</v>
      </c>
      <c r="D39" s="117">
        <v>28</v>
      </c>
      <c r="E39" s="117">
        <v>1.2907</v>
      </c>
      <c r="F39" s="117">
        <v>1.2907</v>
      </c>
      <c r="G39" s="117">
        <v>4.6096428571428573E-2</v>
      </c>
      <c r="H39" s="117">
        <v>23.404</v>
      </c>
      <c r="I39" s="117">
        <v>4.415</v>
      </c>
      <c r="J39" s="117"/>
      <c r="K39" s="117"/>
      <c r="L39" s="117"/>
      <c r="M39" s="205"/>
      <c r="N39" s="345"/>
      <c r="O39" s="351"/>
      <c r="P39" s="351"/>
      <c r="Q39" s="34"/>
      <c r="R39" s="34"/>
      <c r="S39" s="34"/>
      <c r="T39" s="34"/>
    </row>
    <row r="40" spans="2:20" x14ac:dyDescent="0.25">
      <c r="B40" s="293"/>
      <c r="C40" s="117" t="s">
        <v>27</v>
      </c>
      <c r="D40" s="117">
        <v>26.1</v>
      </c>
      <c r="E40" s="117">
        <v>1.25</v>
      </c>
      <c r="F40" s="117">
        <v>0.41</v>
      </c>
      <c r="G40" s="117">
        <f t="shared" ref="G40:G49" si="2">F40/D40</f>
        <v>1.5708812260536397E-2</v>
      </c>
      <c r="H40" s="117">
        <v>20.995000000000001</v>
      </c>
      <c r="I40" s="117">
        <v>5.399</v>
      </c>
      <c r="J40" s="117">
        <v>3.0000000000000001E-3</v>
      </c>
      <c r="K40" s="117">
        <v>1.25</v>
      </c>
      <c r="L40" s="117">
        <v>197</v>
      </c>
      <c r="M40" s="205">
        <v>0.84499999999999997</v>
      </c>
      <c r="N40" s="345"/>
      <c r="O40" s="34"/>
      <c r="P40" s="34"/>
      <c r="Q40" s="34"/>
      <c r="R40" s="34"/>
      <c r="S40" s="34"/>
      <c r="T40" s="34"/>
    </row>
    <row r="41" spans="2:20" x14ac:dyDescent="0.25">
      <c r="B41" s="293"/>
      <c r="C41" s="117" t="s">
        <v>28</v>
      </c>
      <c r="D41" s="117">
        <v>25.43</v>
      </c>
      <c r="E41" s="117">
        <v>1.26</v>
      </c>
      <c r="F41" s="117">
        <v>0.64</v>
      </c>
      <c r="G41" s="117">
        <f t="shared" si="2"/>
        <v>2.5167125442390879E-2</v>
      </c>
      <c r="H41" s="117">
        <v>20.390999999999998</v>
      </c>
      <c r="I41" s="117">
        <v>4.7830000000000004</v>
      </c>
      <c r="J41" s="117">
        <v>4.0000000000000001E-3</v>
      </c>
      <c r="K41" s="117">
        <v>1.262</v>
      </c>
      <c r="L41" s="117">
        <v>176</v>
      </c>
      <c r="M41" s="205">
        <v>0.91500000000000004</v>
      </c>
      <c r="N41" s="345"/>
      <c r="O41" s="307"/>
      <c r="P41" s="307"/>
      <c r="Q41" s="34"/>
      <c r="R41" s="34"/>
      <c r="S41" s="34"/>
      <c r="T41" s="34"/>
    </row>
    <row r="42" spans="2:20" x14ac:dyDescent="0.25">
      <c r="B42" s="293"/>
      <c r="C42" s="117" t="s">
        <v>30</v>
      </c>
      <c r="D42" s="117">
        <v>27.67</v>
      </c>
      <c r="E42" s="117">
        <v>2.04</v>
      </c>
      <c r="F42" s="117">
        <v>0.6</v>
      </c>
      <c r="G42" s="117">
        <f t="shared" si="2"/>
        <v>2.1684134441633536E-2</v>
      </c>
      <c r="H42" s="117">
        <v>22.414999999999999</v>
      </c>
      <c r="I42" s="117">
        <v>5.4059999999999997</v>
      </c>
      <c r="J42" s="117">
        <v>5.0000000000000001E-3</v>
      </c>
      <c r="K42" s="117">
        <v>1.3919999999999999</v>
      </c>
      <c r="L42" s="117">
        <v>212</v>
      </c>
      <c r="M42" s="205">
        <v>0.86899999999999999</v>
      </c>
      <c r="N42" s="34"/>
      <c r="O42" s="34"/>
      <c r="P42" s="34"/>
      <c r="Q42" s="34"/>
      <c r="R42" s="34"/>
      <c r="S42" s="34"/>
      <c r="T42" s="34"/>
    </row>
    <row r="43" spans="2:20" x14ac:dyDescent="0.25">
      <c r="B43" s="293"/>
      <c r="C43" s="117" t="s">
        <v>31</v>
      </c>
      <c r="D43" s="117">
        <v>26.76</v>
      </c>
      <c r="E43" s="117">
        <v>1.04</v>
      </c>
      <c r="F43" s="117">
        <v>0.45</v>
      </c>
      <c r="G43" s="117">
        <f t="shared" si="2"/>
        <v>1.6816143497757848E-2</v>
      </c>
      <c r="H43" s="117">
        <v>21.039000000000001</v>
      </c>
      <c r="I43" s="117">
        <v>5.7649999999999997</v>
      </c>
      <c r="J43" s="117">
        <v>2E-3</v>
      </c>
      <c r="K43" s="117">
        <v>1.3129999999999999</v>
      </c>
      <c r="L43" s="117">
        <v>242</v>
      </c>
      <c r="M43" s="205">
        <v>1.135</v>
      </c>
      <c r="N43" s="34"/>
      <c r="O43" s="34"/>
      <c r="P43" s="34"/>
      <c r="Q43" s="34"/>
      <c r="R43" s="34"/>
      <c r="S43" s="34"/>
      <c r="T43" s="34"/>
    </row>
    <row r="44" spans="2:20" x14ac:dyDescent="0.25">
      <c r="B44" s="293"/>
      <c r="C44" s="117" t="s">
        <v>32</v>
      </c>
      <c r="D44" s="117">
        <v>29.82</v>
      </c>
      <c r="E44" s="117">
        <v>1.7</v>
      </c>
      <c r="F44" s="117">
        <v>0.64</v>
      </c>
      <c r="G44" s="117">
        <f t="shared" si="2"/>
        <v>2.1462105969148222E-2</v>
      </c>
      <c r="H44" s="117">
        <v>22.459</v>
      </c>
      <c r="I44" s="117">
        <v>6.29</v>
      </c>
      <c r="J44" s="117">
        <v>6.0000000000000001E-3</v>
      </c>
      <c r="K44" s="117">
        <v>1.4630000000000001</v>
      </c>
      <c r="L44" s="117">
        <v>185</v>
      </c>
      <c r="M44" s="205">
        <v>1.2470000000000001</v>
      </c>
      <c r="N44" s="34"/>
      <c r="O44" s="34"/>
      <c r="P44" s="34"/>
      <c r="Q44" s="34"/>
      <c r="R44" s="34"/>
      <c r="S44" s="34"/>
      <c r="T44" s="34"/>
    </row>
    <row r="45" spans="2:20" x14ac:dyDescent="0.25">
      <c r="B45" s="293"/>
      <c r="C45" s="117" t="s">
        <v>33</v>
      </c>
      <c r="D45" s="117">
        <v>27.79</v>
      </c>
      <c r="E45" s="117">
        <v>1.57</v>
      </c>
      <c r="F45" s="117">
        <v>1.02</v>
      </c>
      <c r="G45" s="117">
        <f t="shared" si="2"/>
        <v>3.6703850305865419E-2</v>
      </c>
      <c r="H45" s="117">
        <v>22.459</v>
      </c>
      <c r="I45" s="117">
        <v>5.7839999999999998</v>
      </c>
      <c r="J45" s="117">
        <v>6.0000000000000001E-3</v>
      </c>
      <c r="K45" s="117">
        <v>1.343</v>
      </c>
      <c r="L45" s="117">
        <v>239</v>
      </c>
      <c r="M45" s="205">
        <v>1.1120000000000001</v>
      </c>
      <c r="N45" s="34"/>
      <c r="O45" s="34"/>
      <c r="P45" s="34"/>
      <c r="Q45" s="34"/>
      <c r="R45" s="34"/>
      <c r="S45" s="34"/>
      <c r="T45" s="34"/>
    </row>
    <row r="46" spans="2:20" x14ac:dyDescent="0.25">
      <c r="B46" s="293"/>
      <c r="C46" s="117" t="s">
        <v>34</v>
      </c>
      <c r="D46" s="117">
        <v>25.78</v>
      </c>
      <c r="E46" s="117">
        <v>1.39</v>
      </c>
      <c r="F46" s="117">
        <v>0.46</v>
      </c>
      <c r="G46" s="117">
        <f t="shared" si="2"/>
        <v>1.7843289371605897E-2</v>
      </c>
      <c r="H46" s="117">
        <v>21.504000000000001</v>
      </c>
      <c r="I46" s="117">
        <v>4.5919999999999996</v>
      </c>
      <c r="J46" s="117">
        <v>5.0000000000000001E-3</v>
      </c>
      <c r="K46" s="117">
        <v>1.323</v>
      </c>
      <c r="L46" s="117">
        <v>257</v>
      </c>
      <c r="M46" s="205">
        <v>1.1819999999999999</v>
      </c>
      <c r="N46" s="34"/>
      <c r="O46" s="34"/>
      <c r="P46" s="34"/>
      <c r="Q46" s="34"/>
      <c r="R46" s="34"/>
      <c r="S46" s="34"/>
      <c r="T46" s="34"/>
    </row>
    <row r="47" spans="2:20" x14ac:dyDescent="0.25">
      <c r="B47" s="293"/>
      <c r="C47" s="117" t="s">
        <v>182</v>
      </c>
      <c r="D47" s="117">
        <v>24.63</v>
      </c>
      <c r="E47" s="117">
        <v>1.27</v>
      </c>
      <c r="F47" s="117">
        <v>0.76</v>
      </c>
      <c r="G47" s="117">
        <f t="shared" si="2"/>
        <v>3.0856678846934636E-2</v>
      </c>
      <c r="H47" s="117">
        <v>20.893999999999998</v>
      </c>
      <c r="I47" s="117">
        <v>4.3140000000000001</v>
      </c>
      <c r="J47" s="117">
        <v>3.0000000000000001E-3</v>
      </c>
      <c r="K47" s="117">
        <v>1.258</v>
      </c>
      <c r="L47" s="117">
        <v>205</v>
      </c>
      <c r="M47" s="205">
        <v>0.95</v>
      </c>
      <c r="N47" s="34"/>
      <c r="O47" s="34"/>
      <c r="P47" s="34"/>
      <c r="Q47" s="34"/>
      <c r="R47" s="34"/>
      <c r="S47" s="34"/>
      <c r="T47" s="34"/>
    </row>
    <row r="48" spans="2:20" x14ac:dyDescent="0.25">
      <c r="B48" s="293"/>
      <c r="C48" s="117" t="s">
        <v>183</v>
      </c>
      <c r="D48" s="117">
        <v>27.11</v>
      </c>
      <c r="E48" s="117">
        <v>1.71</v>
      </c>
      <c r="F48" s="117">
        <v>0.67</v>
      </c>
      <c r="G48" s="117">
        <f t="shared" si="2"/>
        <v>2.4714127628181485E-2</v>
      </c>
      <c r="H48" s="117">
        <v>23.29</v>
      </c>
      <c r="I48" s="117">
        <v>4.6280000000000001</v>
      </c>
      <c r="J48" s="117">
        <v>1E-3</v>
      </c>
      <c r="K48" s="117">
        <v>1.391</v>
      </c>
      <c r="L48" s="117">
        <v>151</v>
      </c>
      <c r="M48" s="205">
        <v>1.0369999999999999</v>
      </c>
      <c r="N48" s="34"/>
      <c r="O48" s="34"/>
      <c r="P48" s="34"/>
      <c r="Q48" s="34"/>
      <c r="R48" s="34"/>
      <c r="S48" s="34"/>
      <c r="T48" s="34"/>
    </row>
    <row r="49" spans="2:20" x14ac:dyDescent="0.25">
      <c r="B49" s="293"/>
      <c r="C49" s="117" t="s">
        <v>184</v>
      </c>
      <c r="D49" s="117">
        <v>26.29</v>
      </c>
      <c r="E49" s="117">
        <v>1.64</v>
      </c>
      <c r="F49" s="117">
        <v>0.64</v>
      </c>
      <c r="G49" s="117">
        <f t="shared" si="2"/>
        <v>2.4343856979840244E-2</v>
      </c>
      <c r="H49" s="117">
        <v>23.067</v>
      </c>
      <c r="I49" s="117">
        <v>3.4319999999999999</v>
      </c>
      <c r="J49" s="117">
        <v>2E-3</v>
      </c>
      <c r="K49" s="117">
        <v>1.413</v>
      </c>
      <c r="L49" s="117">
        <v>174</v>
      </c>
      <c r="M49" s="205">
        <v>0.81499999999999995</v>
      </c>
      <c r="N49" s="34"/>
      <c r="O49" s="34"/>
      <c r="P49" s="34"/>
      <c r="Q49" s="34"/>
      <c r="R49" s="34"/>
      <c r="S49" s="34"/>
      <c r="T49" s="34"/>
    </row>
    <row r="50" spans="2:20" x14ac:dyDescent="0.25">
      <c r="B50" s="293"/>
      <c r="C50" s="117" t="s">
        <v>185</v>
      </c>
      <c r="D50" s="117">
        <v>27</v>
      </c>
      <c r="E50" s="117">
        <v>1.462</v>
      </c>
      <c r="F50" s="117">
        <v>0.77479999999999993</v>
      </c>
      <c r="G50" s="117">
        <f>F50/D50</f>
        <v>2.8696296296296293E-2</v>
      </c>
      <c r="H50" s="117">
        <v>21.984000000000002</v>
      </c>
      <c r="I50" s="117">
        <v>5.2</v>
      </c>
      <c r="J50" s="117"/>
      <c r="K50" s="117"/>
      <c r="L50" s="117">
        <v>186</v>
      </c>
      <c r="M50" s="205"/>
      <c r="N50" s="34"/>
      <c r="O50" s="34"/>
      <c r="P50" s="34"/>
      <c r="Q50" s="34"/>
      <c r="R50" s="34"/>
      <c r="S50" s="34"/>
      <c r="T50" s="34"/>
    </row>
    <row r="51" spans="2:20" x14ac:dyDescent="0.25">
      <c r="B51" s="293"/>
      <c r="C51" s="117" t="s">
        <v>186</v>
      </c>
      <c r="D51" s="117">
        <v>27</v>
      </c>
      <c r="E51" s="117">
        <v>1.5095999999999998</v>
      </c>
      <c r="F51" s="117">
        <v>0.4945</v>
      </c>
      <c r="G51" s="117">
        <f t="shared" ref="G51:G54" si="3">F51/D51</f>
        <v>1.8314814814814815E-2</v>
      </c>
      <c r="H51" s="117">
        <v>24.158999999999999</v>
      </c>
      <c r="I51" s="117">
        <v>2.4969999999999999</v>
      </c>
      <c r="J51" s="117"/>
      <c r="K51" s="117"/>
      <c r="L51" s="117">
        <v>167</v>
      </c>
      <c r="M51" s="205"/>
      <c r="N51" s="34"/>
      <c r="O51" s="34"/>
      <c r="P51" s="34"/>
      <c r="Q51" s="34"/>
      <c r="R51" s="34"/>
      <c r="S51" s="34"/>
      <c r="T51" s="34"/>
    </row>
    <row r="52" spans="2:20" x14ac:dyDescent="0.25">
      <c r="B52" s="293"/>
      <c r="C52" s="117" t="s">
        <v>187</v>
      </c>
      <c r="D52" s="117">
        <v>27</v>
      </c>
      <c r="E52" s="117">
        <v>1.4430999999999998</v>
      </c>
      <c r="F52" s="117">
        <v>0.76160000000000005</v>
      </c>
      <c r="G52" s="117">
        <f t="shared" si="3"/>
        <v>2.820740740740741E-2</v>
      </c>
      <c r="H52" s="117">
        <v>22.972999999999999</v>
      </c>
      <c r="I52" s="117">
        <v>4.4690000000000003</v>
      </c>
      <c r="J52" s="117"/>
      <c r="K52" s="117"/>
      <c r="L52" s="117">
        <v>289</v>
      </c>
      <c r="M52" s="205"/>
      <c r="N52" s="34"/>
      <c r="O52" s="34"/>
      <c r="P52" s="34"/>
      <c r="Q52" s="34"/>
      <c r="R52" s="34"/>
      <c r="S52" s="34"/>
      <c r="T52" s="34"/>
    </row>
    <row r="53" spans="2:20" x14ac:dyDescent="0.25">
      <c r="B53" s="293"/>
      <c r="C53" s="117" t="s">
        <v>188</v>
      </c>
      <c r="D53" s="117">
        <v>27</v>
      </c>
      <c r="E53" s="117">
        <v>1.571</v>
      </c>
      <c r="F53" s="117">
        <v>0.49719999999999998</v>
      </c>
      <c r="G53" s="117">
        <f t="shared" si="3"/>
        <v>1.8414814814814814E-2</v>
      </c>
      <c r="H53" s="117">
        <v>24.266999999999999</v>
      </c>
      <c r="I53" s="117">
        <v>2.8420000000000001</v>
      </c>
      <c r="J53" s="117"/>
      <c r="K53" s="117"/>
      <c r="L53" s="117">
        <v>211</v>
      </c>
      <c r="M53" s="205"/>
      <c r="N53" s="34"/>
      <c r="O53" s="34"/>
      <c r="P53" s="34"/>
      <c r="Q53" s="34"/>
      <c r="R53" s="34"/>
      <c r="S53" s="34"/>
      <c r="T53" s="34"/>
    </row>
    <row r="54" spans="2:20" x14ac:dyDescent="0.25">
      <c r="B54" s="344"/>
      <c r="C54" s="420" t="s">
        <v>189</v>
      </c>
      <c r="D54" s="420">
        <v>28</v>
      </c>
      <c r="E54" s="420">
        <v>1.5404</v>
      </c>
      <c r="F54" s="420">
        <v>0.5716</v>
      </c>
      <c r="G54" s="420">
        <f t="shared" si="3"/>
        <v>2.0414285714285715E-2</v>
      </c>
      <c r="H54" s="420">
        <v>24.350999999999999</v>
      </c>
      <c r="I54" s="420">
        <v>3.3780000000000001</v>
      </c>
      <c r="J54" s="420"/>
      <c r="K54" s="420"/>
      <c r="L54" s="420">
        <v>236</v>
      </c>
      <c r="M54" s="20"/>
      <c r="N54" s="34"/>
      <c r="O54" s="34"/>
      <c r="P54" s="34"/>
      <c r="Q54" s="34"/>
      <c r="R54" s="34"/>
      <c r="S54" s="34"/>
      <c r="T54" s="34"/>
    </row>
    <row r="55" spans="2:20" x14ac:dyDescent="0.25"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</row>
    <row r="57" spans="2:20" x14ac:dyDescent="0.25">
      <c r="E57" s="303"/>
    </row>
    <row r="59" spans="2:20" x14ac:dyDescent="0.25">
      <c r="E59" s="303"/>
    </row>
  </sheetData>
  <pageMargins left="0.7" right="0.7" top="0.75" bottom="0.75" header="0.3" footer="0.3"/>
  <pageSetup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AA54E-0830-41EE-89C6-E21C3AC087C0}">
  <dimension ref="A1:G30"/>
  <sheetViews>
    <sheetView zoomScale="80" zoomScaleNormal="80" workbookViewId="0"/>
  </sheetViews>
  <sheetFormatPr defaultRowHeight="15" x14ac:dyDescent="0.25"/>
  <cols>
    <col min="1" max="1" width="3.7109375" style="122" customWidth="1"/>
    <col min="2" max="2" width="16.42578125" bestFit="1" customWidth="1"/>
    <col min="3" max="3" width="22.140625" customWidth="1"/>
    <col min="4" max="4" width="13.7109375" bestFit="1" customWidth="1"/>
    <col min="5" max="5" width="17.28515625" bestFit="1" customWidth="1"/>
    <col min="6" max="6" width="14.85546875" bestFit="1" customWidth="1"/>
    <col min="7" max="7" width="15.28515625" bestFit="1" customWidth="1"/>
  </cols>
  <sheetData>
    <row r="1" spans="2:7" s="122" customFormat="1" x14ac:dyDescent="0.25"/>
    <row r="2" spans="2:7" x14ac:dyDescent="0.25">
      <c r="B2" s="305" t="s">
        <v>50</v>
      </c>
      <c r="C2" s="297" t="s">
        <v>232</v>
      </c>
      <c r="D2" s="310"/>
      <c r="E2" s="255"/>
      <c r="F2" s="298"/>
      <c r="G2" s="298"/>
    </row>
    <row r="3" spans="2:7" x14ac:dyDescent="0.25">
      <c r="B3" s="304" t="s">
        <v>207</v>
      </c>
      <c r="C3" s="314" t="s">
        <v>51</v>
      </c>
      <c r="D3" s="312" t="s">
        <v>256</v>
      </c>
      <c r="E3" s="312" t="s">
        <v>194</v>
      </c>
      <c r="F3" s="312" t="s">
        <v>195</v>
      </c>
      <c r="G3" s="315" t="s">
        <v>196</v>
      </c>
    </row>
    <row r="4" spans="2:7" x14ac:dyDescent="0.25">
      <c r="B4" s="301"/>
      <c r="C4" s="118" t="s">
        <v>5</v>
      </c>
      <c r="D4" s="146">
        <v>8.9369691551184616</v>
      </c>
      <c r="E4" s="146">
        <v>123.94933690955148</v>
      </c>
      <c r="F4" s="146">
        <v>71.641782148711073</v>
      </c>
      <c r="G4" s="147">
        <v>4.7897481746386532</v>
      </c>
    </row>
    <row r="5" spans="2:7" x14ac:dyDescent="0.25">
      <c r="B5" s="301"/>
      <c r="C5" s="117" t="s">
        <v>6</v>
      </c>
      <c r="D5" s="146">
        <v>32.072727272727271</v>
      </c>
      <c r="E5" s="146">
        <v>172.06562367864694</v>
      </c>
      <c r="F5" s="146">
        <v>405.55839323467228</v>
      </c>
      <c r="G5" s="147">
        <v>193.298266384778</v>
      </c>
    </row>
    <row r="6" spans="2:7" x14ac:dyDescent="0.25">
      <c r="B6" s="301"/>
      <c r="C6" s="117" t="s">
        <v>7</v>
      </c>
      <c r="D6" s="146">
        <v>45.587362541455754</v>
      </c>
      <c r="E6" s="146">
        <v>131.45924245068946</v>
      </c>
      <c r="F6" s="146">
        <v>211.01902600802933</v>
      </c>
      <c r="G6" s="147">
        <v>20.441612846919181</v>
      </c>
    </row>
    <row r="7" spans="2:7" x14ac:dyDescent="0.25">
      <c r="B7" s="301"/>
      <c r="C7" s="117" t="s">
        <v>8</v>
      </c>
      <c r="D7" s="146">
        <v>142.26036363636399</v>
      </c>
      <c r="E7" s="146">
        <v>126.86545454545454</v>
      </c>
      <c r="F7" s="146">
        <v>1231.8778181818182</v>
      </c>
      <c r="G7" s="147">
        <v>106.48145454545454</v>
      </c>
    </row>
    <row r="8" spans="2:7" x14ac:dyDescent="0.25">
      <c r="B8" s="301"/>
      <c r="C8" s="117" t="s">
        <v>14</v>
      </c>
      <c r="D8" s="146">
        <v>30.604244694132333</v>
      </c>
      <c r="E8" s="146">
        <v>33.26092384519351</v>
      </c>
      <c r="F8" s="146">
        <v>121.85767790262172</v>
      </c>
      <c r="G8" s="147">
        <v>30.16729088639201</v>
      </c>
    </row>
    <row r="9" spans="2:7" x14ac:dyDescent="0.25">
      <c r="B9" s="301"/>
      <c r="C9" s="117" t="s">
        <v>15</v>
      </c>
      <c r="D9" s="146">
        <v>42.141262344353798</v>
      </c>
      <c r="E9" s="146">
        <v>159.34993559467583</v>
      </c>
      <c r="F9" s="146">
        <v>111.25461571489909</v>
      </c>
      <c r="G9" s="147">
        <v>105.88965221124946</v>
      </c>
    </row>
    <row r="10" spans="2:7" x14ac:dyDescent="0.25">
      <c r="B10" s="301"/>
      <c r="C10" s="117" t="s">
        <v>19</v>
      </c>
      <c r="D10" s="146">
        <v>10.389870547103845</v>
      </c>
      <c r="E10" s="146">
        <v>93.823679485968057</v>
      </c>
      <c r="F10" s="146">
        <v>70.284418406878956</v>
      </c>
      <c r="G10" s="147">
        <v>5.7783237267315508</v>
      </c>
    </row>
    <row r="11" spans="2:7" x14ac:dyDescent="0.25">
      <c r="B11" s="301"/>
      <c r="C11" s="117" t="s">
        <v>21</v>
      </c>
      <c r="D11" s="146">
        <v>28.433899492207999</v>
      </c>
      <c r="E11" s="146">
        <v>207.05095429872176</v>
      </c>
      <c r="F11" s="146">
        <v>150.26895464892311</v>
      </c>
      <c r="G11" s="147">
        <v>8.476974260199615</v>
      </c>
    </row>
    <row r="12" spans="2:7" x14ac:dyDescent="0.25">
      <c r="B12" s="301"/>
      <c r="C12" s="117" t="s">
        <v>23</v>
      </c>
      <c r="D12" s="146">
        <v>81.730936935020736</v>
      </c>
      <c r="E12" s="146">
        <v>379.03477613527599</v>
      </c>
      <c r="F12" s="146">
        <v>415.07476337339142</v>
      </c>
      <c r="G12" s="147">
        <v>367.52866106561731</v>
      </c>
    </row>
    <row r="13" spans="2:7" x14ac:dyDescent="0.25">
      <c r="B13" s="301"/>
      <c r="C13" s="250"/>
      <c r="D13" s="146"/>
      <c r="E13" s="146"/>
      <c r="F13" s="146"/>
      <c r="G13" s="147"/>
    </row>
    <row r="14" spans="2:7" x14ac:dyDescent="0.25">
      <c r="B14" s="301"/>
      <c r="C14" s="175" t="s">
        <v>56</v>
      </c>
      <c r="D14" s="175">
        <f>AVERAGE(D4:D12)</f>
        <v>46.906404068720462</v>
      </c>
      <c r="E14" s="175">
        <f>AVERAGE(E4:E12)</f>
        <v>158.53999188268639</v>
      </c>
      <c r="F14" s="175">
        <f>AVERAGE(F4:F12)</f>
        <v>309.87082773554943</v>
      </c>
      <c r="G14" s="176">
        <f>AVERAGE(G4:G12)</f>
        <v>93.650220455775596</v>
      </c>
    </row>
    <row r="15" spans="2:7" x14ac:dyDescent="0.25">
      <c r="B15" s="301"/>
      <c r="C15" s="146" t="s">
        <v>22</v>
      </c>
      <c r="D15" s="146">
        <f>_xlfn.STDEV.S(D4:D12)</f>
        <v>41.73089254642943</v>
      </c>
      <c r="E15" s="146">
        <f>_xlfn.STDEV.S(E4:E12)</f>
        <v>96.15811508707398</v>
      </c>
      <c r="F15" s="146">
        <f>_xlfn.STDEV.S(F4:F12)</f>
        <v>369.88467377986797</v>
      </c>
      <c r="G15" s="147">
        <f>_xlfn.STDEV.S(G4:G12)</f>
        <v>121.19988436325224</v>
      </c>
    </row>
    <row r="16" spans="2:7" x14ac:dyDescent="0.25">
      <c r="B16" s="301"/>
      <c r="C16" s="175" t="s">
        <v>9</v>
      </c>
      <c r="D16" s="175">
        <f>D15/(SQRT(9))</f>
        <v>13.910297515476477</v>
      </c>
      <c r="E16" s="175">
        <f>E15/(SQRT(9))</f>
        <v>32.052705029024658</v>
      </c>
      <c r="F16" s="175">
        <f>F15/(SQRT(9))</f>
        <v>123.29489125995599</v>
      </c>
      <c r="G16" s="176">
        <f>G15/(SQRT(9))</f>
        <v>40.399961454417415</v>
      </c>
    </row>
    <row r="17" spans="2:7" x14ac:dyDescent="0.25">
      <c r="B17" s="304" t="s">
        <v>25</v>
      </c>
      <c r="C17" s="314" t="s">
        <v>51</v>
      </c>
      <c r="D17" s="312" t="s">
        <v>256</v>
      </c>
      <c r="E17" s="312" t="s">
        <v>194</v>
      </c>
      <c r="F17" s="312" t="s">
        <v>195</v>
      </c>
      <c r="G17" s="315" t="s">
        <v>196</v>
      </c>
    </row>
    <row r="18" spans="2:7" x14ac:dyDescent="0.25">
      <c r="B18" s="301"/>
      <c r="C18" s="118" t="s">
        <v>5</v>
      </c>
      <c r="D18" s="146">
        <v>49.155802861685217</v>
      </c>
      <c r="E18" s="146">
        <v>414.85627980922101</v>
      </c>
      <c r="F18" s="146">
        <v>318.22734499205097</v>
      </c>
      <c r="G18" s="147">
        <v>16.016534181240061</v>
      </c>
    </row>
    <row r="19" spans="2:7" x14ac:dyDescent="0.25">
      <c r="B19" s="301"/>
      <c r="C19" s="117" t="s">
        <v>6</v>
      </c>
      <c r="D19" s="146">
        <v>100.64285003482934</v>
      </c>
      <c r="E19" s="146">
        <v>335.82724649218829</v>
      </c>
      <c r="F19" s="146">
        <v>403.5856304109862</v>
      </c>
      <c r="G19" s="147">
        <v>279.36192655985673</v>
      </c>
    </row>
    <row r="20" spans="2:7" x14ac:dyDescent="0.25">
      <c r="B20" s="301"/>
      <c r="C20" s="117" t="s">
        <v>7</v>
      </c>
      <c r="D20" s="146">
        <v>25.987801644126225</v>
      </c>
      <c r="E20" s="146">
        <v>282.67798108370903</v>
      </c>
      <c r="F20" s="146">
        <v>137.33686908865906</v>
      </c>
      <c r="G20" s="147">
        <v>35.326085034915586</v>
      </c>
    </row>
    <row r="21" spans="2:7" x14ac:dyDescent="0.25">
      <c r="B21" s="301"/>
      <c r="C21" s="117" t="s">
        <v>8</v>
      </c>
      <c r="D21" s="146">
        <v>63.790359107085088</v>
      </c>
      <c r="E21" s="146">
        <v>507.82875013479998</v>
      </c>
      <c r="F21" s="146">
        <v>491.7649088752292</v>
      </c>
      <c r="G21" s="147">
        <v>649.80351558287498</v>
      </c>
    </row>
    <row r="22" spans="2:7" x14ac:dyDescent="0.25">
      <c r="B22" s="301"/>
      <c r="C22" s="117" t="s">
        <v>14</v>
      </c>
      <c r="D22" s="146">
        <v>19.584985956251597</v>
      </c>
      <c r="E22" s="146">
        <v>161.60115754532299</v>
      </c>
      <c r="F22" s="146">
        <v>144.98561579708911</v>
      </c>
      <c r="G22" s="147">
        <v>139.88084092263171</v>
      </c>
    </row>
    <row r="23" spans="2:7" x14ac:dyDescent="0.25">
      <c r="B23" s="301"/>
      <c r="C23" s="117" t="s">
        <v>15</v>
      </c>
      <c r="D23" s="146">
        <v>60.660912453760787</v>
      </c>
      <c r="E23" s="146">
        <v>378.25663789560213</v>
      </c>
      <c r="F23" s="146">
        <v>449.88968351829016</v>
      </c>
      <c r="G23" s="147">
        <v>134.96851623510071</v>
      </c>
    </row>
    <row r="24" spans="2:7" x14ac:dyDescent="0.25">
      <c r="B24" s="301"/>
      <c r="C24" s="117" t="s">
        <v>19</v>
      </c>
      <c r="D24" s="146">
        <v>30.737420402047697</v>
      </c>
      <c r="E24" s="146">
        <v>164.18579098514172</v>
      </c>
      <c r="F24" s="146">
        <v>130.90323386190536</v>
      </c>
      <c r="G24" s="147">
        <v>87.782744412535891</v>
      </c>
    </row>
    <row r="25" spans="2:7" x14ac:dyDescent="0.25">
      <c r="B25" s="301"/>
      <c r="C25" s="117" t="s">
        <v>21</v>
      </c>
      <c r="D25" s="146">
        <v>5.0130391173520561</v>
      </c>
      <c r="E25" s="146">
        <v>429.13908391842199</v>
      </c>
      <c r="F25" s="146">
        <v>225.86526245402877</v>
      </c>
      <c r="G25" s="147">
        <v>755.83851554664</v>
      </c>
    </row>
    <row r="26" spans="2:7" x14ac:dyDescent="0.25">
      <c r="B26" s="301"/>
      <c r="C26" s="117" t="s">
        <v>23</v>
      </c>
      <c r="D26" s="146">
        <v>2.9042553191489362</v>
      </c>
      <c r="E26" s="146">
        <v>321.01329787234044</v>
      </c>
      <c r="F26" s="146">
        <v>114.38297872340425</v>
      </c>
      <c r="G26" s="147">
        <v>653.86702127659578</v>
      </c>
    </row>
    <row r="27" spans="2:7" x14ac:dyDescent="0.25">
      <c r="B27" s="301"/>
      <c r="C27" s="146"/>
      <c r="D27" s="146"/>
      <c r="E27" s="146"/>
      <c r="F27" s="146"/>
      <c r="G27" s="147"/>
    </row>
    <row r="28" spans="2:7" x14ac:dyDescent="0.25">
      <c r="B28" s="301"/>
      <c r="C28" s="175" t="s">
        <v>56</v>
      </c>
      <c r="D28" s="175">
        <f>AVERAGE(D18:D26)</f>
        <v>39.830825210698549</v>
      </c>
      <c r="E28" s="175">
        <f>AVERAGE(E18:E26)</f>
        <v>332.82069174852751</v>
      </c>
      <c r="F28" s="175">
        <f>AVERAGE(F18:F26)</f>
        <v>268.54905863573811</v>
      </c>
      <c r="G28" s="176">
        <f>AVERAGE(G18:G26)</f>
        <v>305.87174441693242</v>
      </c>
    </row>
    <row r="29" spans="2:7" x14ac:dyDescent="0.25">
      <c r="B29" s="301"/>
      <c r="C29" s="146" t="s">
        <v>22</v>
      </c>
      <c r="D29" s="146">
        <f>_xlfn.STDEV.S(D18:D26)</f>
        <v>31.727496912144058</v>
      </c>
      <c r="E29" s="146">
        <f>_xlfn.STDEV.S(E18:E26)</f>
        <v>116.78822719119599</v>
      </c>
      <c r="F29" s="146">
        <f>_xlfn.STDEV.S(F18:F26)</f>
        <v>150.18012880563211</v>
      </c>
      <c r="G29" s="147">
        <f>_xlfn.STDEV.S(G18:G26)</f>
        <v>296.66844784575096</v>
      </c>
    </row>
    <row r="30" spans="2:7" x14ac:dyDescent="0.25">
      <c r="B30" s="302"/>
      <c r="C30" s="177" t="s">
        <v>9</v>
      </c>
      <c r="D30" s="177">
        <f>D29/(SQRT(9))</f>
        <v>10.575832304048019</v>
      </c>
      <c r="E30" s="177">
        <f>E29/(SQRT(9))</f>
        <v>38.929409063731995</v>
      </c>
      <c r="F30" s="177">
        <f>F29/(SQRT(9))</f>
        <v>50.060042935210703</v>
      </c>
      <c r="G30" s="178">
        <f>G29/(SQRT(9))</f>
        <v>98.889482615250316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B2:EK382"/>
  <sheetViews>
    <sheetView zoomScale="60" zoomScaleNormal="60" workbookViewId="0"/>
  </sheetViews>
  <sheetFormatPr defaultColWidth="8.85546875" defaultRowHeight="15" x14ac:dyDescent="0.25"/>
  <cols>
    <col min="1" max="1" width="2.42578125" style="32" customWidth="1"/>
    <col min="2" max="2" width="20.5703125" style="32" customWidth="1"/>
    <col min="3" max="3" width="11.42578125" style="32" bestFit="1" customWidth="1"/>
    <col min="4" max="4" width="14.140625" style="32" bestFit="1" customWidth="1"/>
    <col min="5" max="7" width="14.7109375" style="32" bestFit="1" customWidth="1"/>
    <col min="8" max="8" width="17.28515625" style="32" bestFit="1" customWidth="1"/>
    <col min="9" max="9" width="25.42578125" style="32" bestFit="1" customWidth="1"/>
    <col min="10" max="10" width="9.7109375" style="32" bestFit="1" customWidth="1"/>
    <col min="11" max="11" width="14.140625" style="32" bestFit="1" customWidth="1"/>
    <col min="12" max="14" width="14.7109375" style="32" bestFit="1" customWidth="1"/>
    <col min="15" max="15" width="17.28515625" style="32" bestFit="1" customWidth="1"/>
    <col min="16" max="16" width="2.28515625" style="32" customWidth="1"/>
    <col min="17" max="17" width="19.85546875" style="32" bestFit="1" customWidth="1"/>
    <col min="18" max="18" width="9.28515625" style="32" bestFit="1" customWidth="1"/>
    <col min="19" max="19" width="14.140625" style="32" bestFit="1" customWidth="1"/>
    <col min="20" max="22" width="14.7109375" style="32" bestFit="1" customWidth="1"/>
    <col min="23" max="23" width="17.28515625" style="32" bestFit="1" customWidth="1"/>
    <col min="24" max="24" width="18.28515625" style="32" bestFit="1" customWidth="1"/>
    <col min="25" max="25" width="11.140625" style="32" bestFit="1" customWidth="1"/>
    <col min="26" max="26" width="14.140625" style="32" bestFit="1" customWidth="1"/>
    <col min="27" max="29" width="14.7109375" style="32" bestFit="1" customWidth="1"/>
    <col min="30" max="30" width="17.28515625" style="32" bestFit="1" customWidth="1"/>
    <col min="31" max="31" width="12.140625" style="32" customWidth="1"/>
    <col min="32" max="32" width="11.140625" style="32" customWidth="1"/>
    <col min="33" max="33" width="12.140625" style="32" customWidth="1"/>
    <col min="34" max="39" width="8.85546875" style="32"/>
    <col min="40" max="40" width="12.28515625" style="32" customWidth="1"/>
    <col min="41" max="41" width="11.85546875" style="32" customWidth="1"/>
    <col min="42" max="42" width="12.42578125" style="32" customWidth="1"/>
    <col min="43" max="43" width="11.7109375" style="32" customWidth="1"/>
    <col min="44" max="44" width="8.85546875" style="32"/>
    <col min="45" max="45" width="20.5703125" style="32" bestFit="1" customWidth="1"/>
    <col min="46" max="46" width="8.85546875" style="32" customWidth="1"/>
    <col min="47" max="267" width="8.85546875" style="32"/>
    <col min="268" max="268" width="39.85546875" style="32" customWidth="1"/>
    <col min="269" max="269" width="13.140625" style="32" customWidth="1"/>
    <col min="270" max="285" width="8.85546875" style="32"/>
    <col min="286" max="287" width="12.140625" style="32" customWidth="1"/>
    <col min="288" max="288" width="11.140625" style="32" customWidth="1"/>
    <col min="289" max="289" width="12.140625" style="32" customWidth="1"/>
    <col min="290" max="295" width="8.85546875" style="32"/>
    <col min="296" max="296" width="12.28515625" style="32" customWidth="1"/>
    <col min="297" max="297" width="11.85546875" style="32" customWidth="1"/>
    <col min="298" max="298" width="12.42578125" style="32" customWidth="1"/>
    <col min="299" max="299" width="11.7109375" style="32" customWidth="1"/>
    <col min="300" max="523" width="8.85546875" style="32"/>
    <col min="524" max="524" width="39.85546875" style="32" customWidth="1"/>
    <col min="525" max="525" width="13.140625" style="32" customWidth="1"/>
    <col min="526" max="541" width="8.85546875" style="32"/>
    <col min="542" max="543" width="12.140625" style="32" customWidth="1"/>
    <col min="544" max="544" width="11.140625" style="32" customWidth="1"/>
    <col min="545" max="545" width="12.140625" style="32" customWidth="1"/>
    <col min="546" max="551" width="8.85546875" style="32"/>
    <col min="552" max="552" width="12.28515625" style="32" customWidth="1"/>
    <col min="553" max="553" width="11.85546875" style="32" customWidth="1"/>
    <col min="554" max="554" width="12.42578125" style="32" customWidth="1"/>
    <col min="555" max="555" width="11.7109375" style="32" customWidth="1"/>
    <col min="556" max="779" width="8.85546875" style="32"/>
    <col min="780" max="780" width="39.85546875" style="32" customWidth="1"/>
    <col min="781" max="781" width="13.140625" style="32" customWidth="1"/>
    <col min="782" max="797" width="8.85546875" style="32"/>
    <col min="798" max="799" width="12.140625" style="32" customWidth="1"/>
    <col min="800" max="800" width="11.140625" style="32" customWidth="1"/>
    <col min="801" max="801" width="12.140625" style="32" customWidth="1"/>
    <col min="802" max="807" width="8.85546875" style="32"/>
    <col min="808" max="808" width="12.28515625" style="32" customWidth="1"/>
    <col min="809" max="809" width="11.85546875" style="32" customWidth="1"/>
    <col min="810" max="810" width="12.42578125" style="32" customWidth="1"/>
    <col min="811" max="811" width="11.7109375" style="32" customWidth="1"/>
    <col min="812" max="1035" width="8.85546875" style="32"/>
    <col min="1036" max="1036" width="39.85546875" style="32" customWidth="1"/>
    <col min="1037" max="1037" width="13.140625" style="32" customWidth="1"/>
    <col min="1038" max="1053" width="8.85546875" style="32"/>
    <col min="1054" max="1055" width="12.140625" style="32" customWidth="1"/>
    <col min="1056" max="1056" width="11.140625" style="32" customWidth="1"/>
    <col min="1057" max="1057" width="12.140625" style="32" customWidth="1"/>
    <col min="1058" max="1063" width="8.85546875" style="32"/>
    <col min="1064" max="1064" width="12.28515625" style="32" customWidth="1"/>
    <col min="1065" max="1065" width="11.85546875" style="32" customWidth="1"/>
    <col min="1066" max="1066" width="12.42578125" style="32" customWidth="1"/>
    <col min="1067" max="1067" width="11.7109375" style="32" customWidth="1"/>
    <col min="1068" max="1291" width="8.85546875" style="32"/>
    <col min="1292" max="1292" width="39.85546875" style="32" customWidth="1"/>
    <col min="1293" max="1293" width="13.140625" style="32" customWidth="1"/>
    <col min="1294" max="1309" width="8.85546875" style="32"/>
    <col min="1310" max="1311" width="12.140625" style="32" customWidth="1"/>
    <col min="1312" max="1312" width="11.140625" style="32" customWidth="1"/>
    <col min="1313" max="1313" width="12.140625" style="32" customWidth="1"/>
    <col min="1314" max="1319" width="8.85546875" style="32"/>
    <col min="1320" max="1320" width="12.28515625" style="32" customWidth="1"/>
    <col min="1321" max="1321" width="11.85546875" style="32" customWidth="1"/>
    <col min="1322" max="1322" width="12.42578125" style="32" customWidth="1"/>
    <col min="1323" max="1323" width="11.7109375" style="32" customWidth="1"/>
    <col min="1324" max="1547" width="8.85546875" style="32"/>
    <col min="1548" max="1548" width="39.85546875" style="32" customWidth="1"/>
    <col min="1549" max="1549" width="13.140625" style="32" customWidth="1"/>
    <col min="1550" max="1565" width="8.85546875" style="32"/>
    <col min="1566" max="1567" width="12.140625" style="32" customWidth="1"/>
    <col min="1568" max="1568" width="11.140625" style="32" customWidth="1"/>
    <col min="1569" max="1569" width="12.140625" style="32" customWidth="1"/>
    <col min="1570" max="1575" width="8.85546875" style="32"/>
    <col min="1576" max="1576" width="12.28515625" style="32" customWidth="1"/>
    <col min="1577" max="1577" width="11.85546875" style="32" customWidth="1"/>
    <col min="1578" max="1578" width="12.42578125" style="32" customWidth="1"/>
    <col min="1579" max="1579" width="11.7109375" style="32" customWidth="1"/>
    <col min="1580" max="1803" width="8.85546875" style="32"/>
    <col min="1804" max="1804" width="39.85546875" style="32" customWidth="1"/>
    <col min="1805" max="1805" width="13.140625" style="32" customWidth="1"/>
    <col min="1806" max="1821" width="8.85546875" style="32"/>
    <col min="1822" max="1823" width="12.140625" style="32" customWidth="1"/>
    <col min="1824" max="1824" width="11.140625" style="32" customWidth="1"/>
    <col min="1825" max="1825" width="12.140625" style="32" customWidth="1"/>
    <col min="1826" max="1831" width="8.85546875" style="32"/>
    <col min="1832" max="1832" width="12.28515625" style="32" customWidth="1"/>
    <col min="1833" max="1833" width="11.85546875" style="32" customWidth="1"/>
    <col min="1834" max="1834" width="12.42578125" style="32" customWidth="1"/>
    <col min="1835" max="1835" width="11.7109375" style="32" customWidth="1"/>
    <col min="1836" max="2059" width="8.85546875" style="32"/>
    <col min="2060" max="2060" width="39.85546875" style="32" customWidth="1"/>
    <col min="2061" max="2061" width="13.140625" style="32" customWidth="1"/>
    <col min="2062" max="2077" width="8.85546875" style="32"/>
    <col min="2078" max="2079" width="12.140625" style="32" customWidth="1"/>
    <col min="2080" max="2080" width="11.140625" style="32" customWidth="1"/>
    <col min="2081" max="2081" width="12.140625" style="32" customWidth="1"/>
    <col min="2082" max="2087" width="8.85546875" style="32"/>
    <col min="2088" max="2088" width="12.28515625" style="32" customWidth="1"/>
    <col min="2089" max="2089" width="11.85546875" style="32" customWidth="1"/>
    <col min="2090" max="2090" width="12.42578125" style="32" customWidth="1"/>
    <col min="2091" max="2091" width="11.7109375" style="32" customWidth="1"/>
    <col min="2092" max="2315" width="8.85546875" style="32"/>
    <col min="2316" max="2316" width="39.85546875" style="32" customWidth="1"/>
    <col min="2317" max="2317" width="13.140625" style="32" customWidth="1"/>
    <col min="2318" max="2333" width="8.85546875" style="32"/>
    <col min="2334" max="2335" width="12.140625" style="32" customWidth="1"/>
    <col min="2336" max="2336" width="11.140625" style="32" customWidth="1"/>
    <col min="2337" max="2337" width="12.140625" style="32" customWidth="1"/>
    <col min="2338" max="2343" width="8.85546875" style="32"/>
    <col min="2344" max="2344" width="12.28515625" style="32" customWidth="1"/>
    <col min="2345" max="2345" width="11.85546875" style="32" customWidth="1"/>
    <col min="2346" max="2346" width="12.42578125" style="32" customWidth="1"/>
    <col min="2347" max="2347" width="11.7109375" style="32" customWidth="1"/>
    <col min="2348" max="2571" width="8.85546875" style="32"/>
    <col min="2572" max="2572" width="39.85546875" style="32" customWidth="1"/>
    <col min="2573" max="2573" width="13.140625" style="32" customWidth="1"/>
    <col min="2574" max="2589" width="8.85546875" style="32"/>
    <col min="2590" max="2591" width="12.140625" style="32" customWidth="1"/>
    <col min="2592" max="2592" width="11.140625" style="32" customWidth="1"/>
    <col min="2593" max="2593" width="12.140625" style="32" customWidth="1"/>
    <col min="2594" max="2599" width="8.85546875" style="32"/>
    <col min="2600" max="2600" width="12.28515625" style="32" customWidth="1"/>
    <col min="2601" max="2601" width="11.85546875" style="32" customWidth="1"/>
    <col min="2602" max="2602" width="12.42578125" style="32" customWidth="1"/>
    <col min="2603" max="2603" width="11.7109375" style="32" customWidth="1"/>
    <col min="2604" max="2827" width="8.85546875" style="32"/>
    <col min="2828" max="2828" width="39.85546875" style="32" customWidth="1"/>
    <col min="2829" max="2829" width="13.140625" style="32" customWidth="1"/>
    <col min="2830" max="2845" width="8.85546875" style="32"/>
    <col min="2846" max="2847" width="12.140625" style="32" customWidth="1"/>
    <col min="2848" max="2848" width="11.140625" style="32" customWidth="1"/>
    <col min="2849" max="2849" width="12.140625" style="32" customWidth="1"/>
    <col min="2850" max="2855" width="8.85546875" style="32"/>
    <col min="2856" max="2856" width="12.28515625" style="32" customWidth="1"/>
    <col min="2857" max="2857" width="11.85546875" style="32" customWidth="1"/>
    <col min="2858" max="2858" width="12.42578125" style="32" customWidth="1"/>
    <col min="2859" max="2859" width="11.7109375" style="32" customWidth="1"/>
    <col min="2860" max="3083" width="8.85546875" style="32"/>
    <col min="3084" max="3084" width="39.85546875" style="32" customWidth="1"/>
    <col min="3085" max="3085" width="13.140625" style="32" customWidth="1"/>
    <col min="3086" max="3101" width="8.85546875" style="32"/>
    <col min="3102" max="3103" width="12.140625" style="32" customWidth="1"/>
    <col min="3104" max="3104" width="11.140625" style="32" customWidth="1"/>
    <col min="3105" max="3105" width="12.140625" style="32" customWidth="1"/>
    <col min="3106" max="3111" width="8.85546875" style="32"/>
    <col min="3112" max="3112" width="12.28515625" style="32" customWidth="1"/>
    <col min="3113" max="3113" width="11.85546875" style="32" customWidth="1"/>
    <col min="3114" max="3114" width="12.42578125" style="32" customWidth="1"/>
    <col min="3115" max="3115" width="11.7109375" style="32" customWidth="1"/>
    <col min="3116" max="3339" width="8.85546875" style="32"/>
    <col min="3340" max="3340" width="39.85546875" style="32" customWidth="1"/>
    <col min="3341" max="3341" width="13.140625" style="32" customWidth="1"/>
    <col min="3342" max="3357" width="8.85546875" style="32"/>
    <col min="3358" max="3359" width="12.140625" style="32" customWidth="1"/>
    <col min="3360" max="3360" width="11.140625" style="32" customWidth="1"/>
    <col min="3361" max="3361" width="12.140625" style="32" customWidth="1"/>
    <col min="3362" max="3367" width="8.85546875" style="32"/>
    <col min="3368" max="3368" width="12.28515625" style="32" customWidth="1"/>
    <col min="3369" max="3369" width="11.85546875" style="32" customWidth="1"/>
    <col min="3370" max="3370" width="12.42578125" style="32" customWidth="1"/>
    <col min="3371" max="3371" width="11.7109375" style="32" customWidth="1"/>
    <col min="3372" max="3595" width="8.85546875" style="32"/>
    <col min="3596" max="3596" width="39.85546875" style="32" customWidth="1"/>
    <col min="3597" max="3597" width="13.140625" style="32" customWidth="1"/>
    <col min="3598" max="3613" width="8.85546875" style="32"/>
    <col min="3614" max="3615" width="12.140625" style="32" customWidth="1"/>
    <col min="3616" max="3616" width="11.140625" style="32" customWidth="1"/>
    <col min="3617" max="3617" width="12.140625" style="32" customWidth="1"/>
    <col min="3618" max="3623" width="8.85546875" style="32"/>
    <col min="3624" max="3624" width="12.28515625" style="32" customWidth="1"/>
    <col min="3625" max="3625" width="11.85546875" style="32" customWidth="1"/>
    <col min="3626" max="3626" width="12.42578125" style="32" customWidth="1"/>
    <col min="3627" max="3627" width="11.7109375" style="32" customWidth="1"/>
    <col min="3628" max="3851" width="8.85546875" style="32"/>
    <col min="3852" max="3852" width="39.85546875" style="32" customWidth="1"/>
    <col min="3853" max="3853" width="13.140625" style="32" customWidth="1"/>
    <col min="3854" max="3869" width="8.85546875" style="32"/>
    <col min="3870" max="3871" width="12.140625" style="32" customWidth="1"/>
    <col min="3872" max="3872" width="11.140625" style="32" customWidth="1"/>
    <col min="3873" max="3873" width="12.140625" style="32" customWidth="1"/>
    <col min="3874" max="3879" width="8.85546875" style="32"/>
    <col min="3880" max="3880" width="12.28515625" style="32" customWidth="1"/>
    <col min="3881" max="3881" width="11.85546875" style="32" customWidth="1"/>
    <col min="3882" max="3882" width="12.42578125" style="32" customWidth="1"/>
    <col min="3883" max="3883" width="11.7109375" style="32" customWidth="1"/>
    <col min="3884" max="4107" width="8.85546875" style="32"/>
    <col min="4108" max="4108" width="39.85546875" style="32" customWidth="1"/>
    <col min="4109" max="4109" width="13.140625" style="32" customWidth="1"/>
    <col min="4110" max="4125" width="8.85546875" style="32"/>
    <col min="4126" max="4127" width="12.140625" style="32" customWidth="1"/>
    <col min="4128" max="4128" width="11.140625" style="32" customWidth="1"/>
    <col min="4129" max="4129" width="12.140625" style="32" customWidth="1"/>
    <col min="4130" max="4135" width="8.85546875" style="32"/>
    <col min="4136" max="4136" width="12.28515625" style="32" customWidth="1"/>
    <col min="4137" max="4137" width="11.85546875" style="32" customWidth="1"/>
    <col min="4138" max="4138" width="12.42578125" style="32" customWidth="1"/>
    <col min="4139" max="4139" width="11.7109375" style="32" customWidth="1"/>
    <col min="4140" max="4363" width="8.85546875" style="32"/>
    <col min="4364" max="4364" width="39.85546875" style="32" customWidth="1"/>
    <col min="4365" max="4365" width="13.140625" style="32" customWidth="1"/>
    <col min="4366" max="4381" width="8.85546875" style="32"/>
    <col min="4382" max="4383" width="12.140625" style="32" customWidth="1"/>
    <col min="4384" max="4384" width="11.140625" style="32" customWidth="1"/>
    <col min="4385" max="4385" width="12.140625" style="32" customWidth="1"/>
    <col min="4386" max="4391" width="8.85546875" style="32"/>
    <col min="4392" max="4392" width="12.28515625" style="32" customWidth="1"/>
    <col min="4393" max="4393" width="11.85546875" style="32" customWidth="1"/>
    <col min="4394" max="4394" width="12.42578125" style="32" customWidth="1"/>
    <col min="4395" max="4395" width="11.7109375" style="32" customWidth="1"/>
    <col min="4396" max="4619" width="8.85546875" style="32"/>
    <col min="4620" max="4620" width="39.85546875" style="32" customWidth="1"/>
    <col min="4621" max="4621" width="13.140625" style="32" customWidth="1"/>
    <col min="4622" max="4637" width="8.85546875" style="32"/>
    <col min="4638" max="4639" width="12.140625" style="32" customWidth="1"/>
    <col min="4640" max="4640" width="11.140625" style="32" customWidth="1"/>
    <col min="4641" max="4641" width="12.140625" style="32" customWidth="1"/>
    <col min="4642" max="4647" width="8.85546875" style="32"/>
    <col min="4648" max="4648" width="12.28515625" style="32" customWidth="1"/>
    <col min="4649" max="4649" width="11.85546875" style="32" customWidth="1"/>
    <col min="4650" max="4650" width="12.42578125" style="32" customWidth="1"/>
    <col min="4651" max="4651" width="11.7109375" style="32" customWidth="1"/>
    <col min="4652" max="4875" width="8.85546875" style="32"/>
    <col min="4876" max="4876" width="39.85546875" style="32" customWidth="1"/>
    <col min="4877" max="4877" width="13.140625" style="32" customWidth="1"/>
    <col min="4878" max="4893" width="8.85546875" style="32"/>
    <col min="4894" max="4895" width="12.140625" style="32" customWidth="1"/>
    <col min="4896" max="4896" width="11.140625" style="32" customWidth="1"/>
    <col min="4897" max="4897" width="12.140625" style="32" customWidth="1"/>
    <col min="4898" max="4903" width="8.85546875" style="32"/>
    <col min="4904" max="4904" width="12.28515625" style="32" customWidth="1"/>
    <col min="4905" max="4905" width="11.85546875" style="32" customWidth="1"/>
    <col min="4906" max="4906" width="12.42578125" style="32" customWidth="1"/>
    <col min="4907" max="4907" width="11.7109375" style="32" customWidth="1"/>
    <col min="4908" max="5131" width="8.85546875" style="32"/>
    <col min="5132" max="5132" width="39.85546875" style="32" customWidth="1"/>
    <col min="5133" max="5133" width="13.140625" style="32" customWidth="1"/>
    <col min="5134" max="5149" width="8.85546875" style="32"/>
    <col min="5150" max="5151" width="12.140625" style="32" customWidth="1"/>
    <col min="5152" max="5152" width="11.140625" style="32" customWidth="1"/>
    <col min="5153" max="5153" width="12.140625" style="32" customWidth="1"/>
    <col min="5154" max="5159" width="8.85546875" style="32"/>
    <col min="5160" max="5160" width="12.28515625" style="32" customWidth="1"/>
    <col min="5161" max="5161" width="11.85546875" style="32" customWidth="1"/>
    <col min="5162" max="5162" width="12.42578125" style="32" customWidth="1"/>
    <col min="5163" max="5163" width="11.7109375" style="32" customWidth="1"/>
    <col min="5164" max="5387" width="8.85546875" style="32"/>
    <col min="5388" max="5388" width="39.85546875" style="32" customWidth="1"/>
    <col min="5389" max="5389" width="13.140625" style="32" customWidth="1"/>
    <col min="5390" max="5405" width="8.85546875" style="32"/>
    <col min="5406" max="5407" width="12.140625" style="32" customWidth="1"/>
    <col min="5408" max="5408" width="11.140625" style="32" customWidth="1"/>
    <col min="5409" max="5409" width="12.140625" style="32" customWidth="1"/>
    <col min="5410" max="5415" width="8.85546875" style="32"/>
    <col min="5416" max="5416" width="12.28515625" style="32" customWidth="1"/>
    <col min="5417" max="5417" width="11.85546875" style="32" customWidth="1"/>
    <col min="5418" max="5418" width="12.42578125" style="32" customWidth="1"/>
    <col min="5419" max="5419" width="11.7109375" style="32" customWidth="1"/>
    <col min="5420" max="5643" width="8.85546875" style="32"/>
    <col min="5644" max="5644" width="39.85546875" style="32" customWidth="1"/>
    <col min="5645" max="5645" width="13.140625" style="32" customWidth="1"/>
    <col min="5646" max="5661" width="8.85546875" style="32"/>
    <col min="5662" max="5663" width="12.140625" style="32" customWidth="1"/>
    <col min="5664" max="5664" width="11.140625" style="32" customWidth="1"/>
    <col min="5665" max="5665" width="12.140625" style="32" customWidth="1"/>
    <col min="5666" max="5671" width="8.85546875" style="32"/>
    <col min="5672" max="5672" width="12.28515625" style="32" customWidth="1"/>
    <col min="5673" max="5673" width="11.85546875" style="32" customWidth="1"/>
    <col min="5674" max="5674" width="12.42578125" style="32" customWidth="1"/>
    <col min="5675" max="5675" width="11.7109375" style="32" customWidth="1"/>
    <col min="5676" max="5899" width="8.85546875" style="32"/>
    <col min="5900" max="5900" width="39.85546875" style="32" customWidth="1"/>
    <col min="5901" max="5901" width="13.140625" style="32" customWidth="1"/>
    <col min="5902" max="5917" width="8.85546875" style="32"/>
    <col min="5918" max="5919" width="12.140625" style="32" customWidth="1"/>
    <col min="5920" max="5920" width="11.140625" style="32" customWidth="1"/>
    <col min="5921" max="5921" width="12.140625" style="32" customWidth="1"/>
    <col min="5922" max="5927" width="8.85546875" style="32"/>
    <col min="5928" max="5928" width="12.28515625" style="32" customWidth="1"/>
    <col min="5929" max="5929" width="11.85546875" style="32" customWidth="1"/>
    <col min="5930" max="5930" width="12.42578125" style="32" customWidth="1"/>
    <col min="5931" max="5931" width="11.7109375" style="32" customWidth="1"/>
    <col min="5932" max="6155" width="8.85546875" style="32"/>
    <col min="6156" max="6156" width="39.85546875" style="32" customWidth="1"/>
    <col min="6157" max="6157" width="13.140625" style="32" customWidth="1"/>
    <col min="6158" max="6173" width="8.85546875" style="32"/>
    <col min="6174" max="6175" width="12.140625" style="32" customWidth="1"/>
    <col min="6176" max="6176" width="11.140625" style="32" customWidth="1"/>
    <col min="6177" max="6177" width="12.140625" style="32" customWidth="1"/>
    <col min="6178" max="6183" width="8.85546875" style="32"/>
    <col min="6184" max="6184" width="12.28515625" style="32" customWidth="1"/>
    <col min="6185" max="6185" width="11.85546875" style="32" customWidth="1"/>
    <col min="6186" max="6186" width="12.42578125" style="32" customWidth="1"/>
    <col min="6187" max="6187" width="11.7109375" style="32" customWidth="1"/>
    <col min="6188" max="6411" width="8.85546875" style="32"/>
    <col min="6412" max="6412" width="39.85546875" style="32" customWidth="1"/>
    <col min="6413" max="6413" width="13.140625" style="32" customWidth="1"/>
    <col min="6414" max="6429" width="8.85546875" style="32"/>
    <col min="6430" max="6431" width="12.140625" style="32" customWidth="1"/>
    <col min="6432" max="6432" width="11.140625" style="32" customWidth="1"/>
    <col min="6433" max="6433" width="12.140625" style="32" customWidth="1"/>
    <col min="6434" max="6439" width="8.85546875" style="32"/>
    <col min="6440" max="6440" width="12.28515625" style="32" customWidth="1"/>
    <col min="6441" max="6441" width="11.85546875" style="32" customWidth="1"/>
    <col min="6442" max="6442" width="12.42578125" style="32" customWidth="1"/>
    <col min="6443" max="6443" width="11.7109375" style="32" customWidth="1"/>
    <col min="6444" max="6667" width="8.85546875" style="32"/>
    <col min="6668" max="6668" width="39.85546875" style="32" customWidth="1"/>
    <col min="6669" max="6669" width="13.140625" style="32" customWidth="1"/>
    <col min="6670" max="6685" width="8.85546875" style="32"/>
    <col min="6686" max="6687" width="12.140625" style="32" customWidth="1"/>
    <col min="6688" max="6688" width="11.140625" style="32" customWidth="1"/>
    <col min="6689" max="6689" width="12.140625" style="32" customWidth="1"/>
    <col min="6690" max="6695" width="8.85546875" style="32"/>
    <col min="6696" max="6696" width="12.28515625" style="32" customWidth="1"/>
    <col min="6697" max="6697" width="11.85546875" style="32" customWidth="1"/>
    <col min="6698" max="6698" width="12.42578125" style="32" customWidth="1"/>
    <col min="6699" max="6699" width="11.7109375" style="32" customWidth="1"/>
    <col min="6700" max="6923" width="8.85546875" style="32"/>
    <col min="6924" max="6924" width="39.85546875" style="32" customWidth="1"/>
    <col min="6925" max="6925" width="13.140625" style="32" customWidth="1"/>
    <col min="6926" max="6941" width="8.85546875" style="32"/>
    <col min="6942" max="6943" width="12.140625" style="32" customWidth="1"/>
    <col min="6944" max="6944" width="11.140625" style="32" customWidth="1"/>
    <col min="6945" max="6945" width="12.140625" style="32" customWidth="1"/>
    <col min="6946" max="6951" width="8.85546875" style="32"/>
    <col min="6952" max="6952" width="12.28515625" style="32" customWidth="1"/>
    <col min="6953" max="6953" width="11.85546875" style="32" customWidth="1"/>
    <col min="6954" max="6954" width="12.42578125" style="32" customWidth="1"/>
    <col min="6955" max="6955" width="11.7109375" style="32" customWidth="1"/>
    <col min="6956" max="7179" width="8.85546875" style="32"/>
    <col min="7180" max="7180" width="39.85546875" style="32" customWidth="1"/>
    <col min="7181" max="7181" width="13.140625" style="32" customWidth="1"/>
    <col min="7182" max="7197" width="8.85546875" style="32"/>
    <col min="7198" max="7199" width="12.140625" style="32" customWidth="1"/>
    <col min="7200" max="7200" width="11.140625" style="32" customWidth="1"/>
    <col min="7201" max="7201" width="12.140625" style="32" customWidth="1"/>
    <col min="7202" max="7207" width="8.85546875" style="32"/>
    <col min="7208" max="7208" width="12.28515625" style="32" customWidth="1"/>
    <col min="7209" max="7209" width="11.85546875" style="32" customWidth="1"/>
    <col min="7210" max="7210" width="12.42578125" style="32" customWidth="1"/>
    <col min="7211" max="7211" width="11.7109375" style="32" customWidth="1"/>
    <col min="7212" max="7435" width="8.85546875" style="32"/>
    <col min="7436" max="7436" width="39.85546875" style="32" customWidth="1"/>
    <col min="7437" max="7437" width="13.140625" style="32" customWidth="1"/>
    <col min="7438" max="7453" width="8.85546875" style="32"/>
    <col min="7454" max="7455" width="12.140625" style="32" customWidth="1"/>
    <col min="7456" max="7456" width="11.140625" style="32" customWidth="1"/>
    <col min="7457" max="7457" width="12.140625" style="32" customWidth="1"/>
    <col min="7458" max="7463" width="8.85546875" style="32"/>
    <col min="7464" max="7464" width="12.28515625" style="32" customWidth="1"/>
    <col min="7465" max="7465" width="11.85546875" style="32" customWidth="1"/>
    <col min="7466" max="7466" width="12.42578125" style="32" customWidth="1"/>
    <col min="7467" max="7467" width="11.7109375" style="32" customWidth="1"/>
    <col min="7468" max="7691" width="8.85546875" style="32"/>
    <col min="7692" max="7692" width="39.85546875" style="32" customWidth="1"/>
    <col min="7693" max="7693" width="13.140625" style="32" customWidth="1"/>
    <col min="7694" max="7709" width="8.85546875" style="32"/>
    <col min="7710" max="7711" width="12.140625" style="32" customWidth="1"/>
    <col min="7712" max="7712" width="11.140625" style="32" customWidth="1"/>
    <col min="7713" max="7713" width="12.140625" style="32" customWidth="1"/>
    <col min="7714" max="7719" width="8.85546875" style="32"/>
    <col min="7720" max="7720" width="12.28515625" style="32" customWidth="1"/>
    <col min="7721" max="7721" width="11.85546875" style="32" customWidth="1"/>
    <col min="7722" max="7722" width="12.42578125" style="32" customWidth="1"/>
    <col min="7723" max="7723" width="11.7109375" style="32" customWidth="1"/>
    <col min="7724" max="7947" width="8.85546875" style="32"/>
    <col min="7948" max="7948" width="39.85546875" style="32" customWidth="1"/>
    <col min="7949" max="7949" width="13.140625" style="32" customWidth="1"/>
    <col min="7950" max="7965" width="8.85546875" style="32"/>
    <col min="7966" max="7967" width="12.140625" style="32" customWidth="1"/>
    <col min="7968" max="7968" width="11.140625" style="32" customWidth="1"/>
    <col min="7969" max="7969" width="12.140625" style="32" customWidth="1"/>
    <col min="7970" max="7975" width="8.85546875" style="32"/>
    <col min="7976" max="7976" width="12.28515625" style="32" customWidth="1"/>
    <col min="7977" max="7977" width="11.85546875" style="32" customWidth="1"/>
    <col min="7978" max="7978" width="12.42578125" style="32" customWidth="1"/>
    <col min="7979" max="7979" width="11.7109375" style="32" customWidth="1"/>
    <col min="7980" max="8203" width="8.85546875" style="32"/>
    <col min="8204" max="8204" width="39.85546875" style="32" customWidth="1"/>
    <col min="8205" max="8205" width="13.140625" style="32" customWidth="1"/>
    <col min="8206" max="8221" width="8.85546875" style="32"/>
    <col min="8222" max="8223" width="12.140625" style="32" customWidth="1"/>
    <col min="8224" max="8224" width="11.140625" style="32" customWidth="1"/>
    <col min="8225" max="8225" width="12.140625" style="32" customWidth="1"/>
    <col min="8226" max="8231" width="8.85546875" style="32"/>
    <col min="8232" max="8232" width="12.28515625" style="32" customWidth="1"/>
    <col min="8233" max="8233" width="11.85546875" style="32" customWidth="1"/>
    <col min="8234" max="8234" width="12.42578125" style="32" customWidth="1"/>
    <col min="8235" max="8235" width="11.7109375" style="32" customWidth="1"/>
    <col min="8236" max="8459" width="8.85546875" style="32"/>
    <col min="8460" max="8460" width="39.85546875" style="32" customWidth="1"/>
    <col min="8461" max="8461" width="13.140625" style="32" customWidth="1"/>
    <col min="8462" max="8477" width="8.85546875" style="32"/>
    <col min="8478" max="8479" width="12.140625" style="32" customWidth="1"/>
    <col min="8480" max="8480" width="11.140625" style="32" customWidth="1"/>
    <col min="8481" max="8481" width="12.140625" style="32" customWidth="1"/>
    <col min="8482" max="8487" width="8.85546875" style="32"/>
    <col min="8488" max="8488" width="12.28515625" style="32" customWidth="1"/>
    <col min="8489" max="8489" width="11.85546875" style="32" customWidth="1"/>
    <col min="8490" max="8490" width="12.42578125" style="32" customWidth="1"/>
    <col min="8491" max="8491" width="11.7109375" style="32" customWidth="1"/>
    <col min="8492" max="8715" width="8.85546875" style="32"/>
    <col min="8716" max="8716" width="39.85546875" style="32" customWidth="1"/>
    <col min="8717" max="8717" width="13.140625" style="32" customWidth="1"/>
    <col min="8718" max="8733" width="8.85546875" style="32"/>
    <col min="8734" max="8735" width="12.140625" style="32" customWidth="1"/>
    <col min="8736" max="8736" width="11.140625" style="32" customWidth="1"/>
    <col min="8737" max="8737" width="12.140625" style="32" customWidth="1"/>
    <col min="8738" max="8743" width="8.85546875" style="32"/>
    <col min="8744" max="8744" width="12.28515625" style="32" customWidth="1"/>
    <col min="8745" max="8745" width="11.85546875" style="32" customWidth="1"/>
    <col min="8746" max="8746" width="12.42578125" style="32" customWidth="1"/>
    <col min="8747" max="8747" width="11.7109375" style="32" customWidth="1"/>
    <col min="8748" max="8971" width="8.85546875" style="32"/>
    <col min="8972" max="8972" width="39.85546875" style="32" customWidth="1"/>
    <col min="8973" max="8973" width="13.140625" style="32" customWidth="1"/>
    <col min="8974" max="8989" width="8.85546875" style="32"/>
    <col min="8990" max="8991" width="12.140625" style="32" customWidth="1"/>
    <col min="8992" max="8992" width="11.140625" style="32" customWidth="1"/>
    <col min="8993" max="8993" width="12.140625" style="32" customWidth="1"/>
    <col min="8994" max="8999" width="8.85546875" style="32"/>
    <col min="9000" max="9000" width="12.28515625" style="32" customWidth="1"/>
    <col min="9001" max="9001" width="11.85546875" style="32" customWidth="1"/>
    <col min="9002" max="9002" width="12.42578125" style="32" customWidth="1"/>
    <col min="9003" max="9003" width="11.7109375" style="32" customWidth="1"/>
    <col min="9004" max="9227" width="8.85546875" style="32"/>
    <col min="9228" max="9228" width="39.85546875" style="32" customWidth="1"/>
    <col min="9229" max="9229" width="13.140625" style="32" customWidth="1"/>
    <col min="9230" max="9245" width="8.85546875" style="32"/>
    <col min="9246" max="9247" width="12.140625" style="32" customWidth="1"/>
    <col min="9248" max="9248" width="11.140625" style="32" customWidth="1"/>
    <col min="9249" max="9249" width="12.140625" style="32" customWidth="1"/>
    <col min="9250" max="9255" width="8.85546875" style="32"/>
    <col min="9256" max="9256" width="12.28515625" style="32" customWidth="1"/>
    <col min="9257" max="9257" width="11.85546875" style="32" customWidth="1"/>
    <col min="9258" max="9258" width="12.42578125" style="32" customWidth="1"/>
    <col min="9259" max="9259" width="11.7109375" style="32" customWidth="1"/>
    <col min="9260" max="9483" width="8.85546875" style="32"/>
    <col min="9484" max="9484" width="39.85546875" style="32" customWidth="1"/>
    <col min="9485" max="9485" width="13.140625" style="32" customWidth="1"/>
    <col min="9486" max="9501" width="8.85546875" style="32"/>
    <col min="9502" max="9503" width="12.140625" style="32" customWidth="1"/>
    <col min="9504" max="9504" width="11.140625" style="32" customWidth="1"/>
    <col min="9505" max="9505" width="12.140625" style="32" customWidth="1"/>
    <col min="9506" max="9511" width="8.85546875" style="32"/>
    <col min="9512" max="9512" width="12.28515625" style="32" customWidth="1"/>
    <col min="9513" max="9513" width="11.85546875" style="32" customWidth="1"/>
    <col min="9514" max="9514" width="12.42578125" style="32" customWidth="1"/>
    <col min="9515" max="9515" width="11.7109375" style="32" customWidth="1"/>
    <col min="9516" max="9739" width="8.85546875" style="32"/>
    <col min="9740" max="9740" width="39.85546875" style="32" customWidth="1"/>
    <col min="9741" max="9741" width="13.140625" style="32" customWidth="1"/>
    <col min="9742" max="9757" width="8.85546875" style="32"/>
    <col min="9758" max="9759" width="12.140625" style="32" customWidth="1"/>
    <col min="9760" max="9760" width="11.140625" style="32" customWidth="1"/>
    <col min="9761" max="9761" width="12.140625" style="32" customWidth="1"/>
    <col min="9762" max="9767" width="8.85546875" style="32"/>
    <col min="9768" max="9768" width="12.28515625" style="32" customWidth="1"/>
    <col min="9769" max="9769" width="11.85546875" style="32" customWidth="1"/>
    <col min="9770" max="9770" width="12.42578125" style="32" customWidth="1"/>
    <col min="9771" max="9771" width="11.7109375" style="32" customWidth="1"/>
    <col min="9772" max="9995" width="8.85546875" style="32"/>
    <col min="9996" max="9996" width="39.85546875" style="32" customWidth="1"/>
    <col min="9997" max="9997" width="13.140625" style="32" customWidth="1"/>
    <col min="9998" max="10013" width="8.85546875" style="32"/>
    <col min="10014" max="10015" width="12.140625" style="32" customWidth="1"/>
    <col min="10016" max="10016" width="11.140625" style="32" customWidth="1"/>
    <col min="10017" max="10017" width="12.140625" style="32" customWidth="1"/>
    <col min="10018" max="10023" width="8.85546875" style="32"/>
    <col min="10024" max="10024" width="12.28515625" style="32" customWidth="1"/>
    <col min="10025" max="10025" width="11.85546875" style="32" customWidth="1"/>
    <col min="10026" max="10026" width="12.42578125" style="32" customWidth="1"/>
    <col min="10027" max="10027" width="11.7109375" style="32" customWidth="1"/>
    <col min="10028" max="10251" width="8.85546875" style="32"/>
    <col min="10252" max="10252" width="39.85546875" style="32" customWidth="1"/>
    <col min="10253" max="10253" width="13.140625" style="32" customWidth="1"/>
    <col min="10254" max="10269" width="8.85546875" style="32"/>
    <col min="10270" max="10271" width="12.140625" style="32" customWidth="1"/>
    <col min="10272" max="10272" width="11.140625" style="32" customWidth="1"/>
    <col min="10273" max="10273" width="12.140625" style="32" customWidth="1"/>
    <col min="10274" max="10279" width="8.85546875" style="32"/>
    <col min="10280" max="10280" width="12.28515625" style="32" customWidth="1"/>
    <col min="10281" max="10281" width="11.85546875" style="32" customWidth="1"/>
    <col min="10282" max="10282" width="12.42578125" style="32" customWidth="1"/>
    <col min="10283" max="10283" width="11.7109375" style="32" customWidth="1"/>
    <col min="10284" max="10507" width="8.85546875" style="32"/>
    <col min="10508" max="10508" width="39.85546875" style="32" customWidth="1"/>
    <col min="10509" max="10509" width="13.140625" style="32" customWidth="1"/>
    <col min="10510" max="10525" width="8.85546875" style="32"/>
    <col min="10526" max="10527" width="12.140625" style="32" customWidth="1"/>
    <col min="10528" max="10528" width="11.140625" style="32" customWidth="1"/>
    <col min="10529" max="10529" width="12.140625" style="32" customWidth="1"/>
    <col min="10530" max="10535" width="8.85546875" style="32"/>
    <col min="10536" max="10536" width="12.28515625" style="32" customWidth="1"/>
    <col min="10537" max="10537" width="11.85546875" style="32" customWidth="1"/>
    <col min="10538" max="10538" width="12.42578125" style="32" customWidth="1"/>
    <col min="10539" max="10539" width="11.7109375" style="32" customWidth="1"/>
    <col min="10540" max="10763" width="8.85546875" style="32"/>
    <col min="10764" max="10764" width="39.85546875" style="32" customWidth="1"/>
    <col min="10765" max="10765" width="13.140625" style="32" customWidth="1"/>
    <col min="10766" max="10781" width="8.85546875" style="32"/>
    <col min="10782" max="10783" width="12.140625" style="32" customWidth="1"/>
    <col min="10784" max="10784" width="11.140625" style="32" customWidth="1"/>
    <col min="10785" max="10785" width="12.140625" style="32" customWidth="1"/>
    <col min="10786" max="10791" width="8.85546875" style="32"/>
    <col min="10792" max="10792" width="12.28515625" style="32" customWidth="1"/>
    <col min="10793" max="10793" width="11.85546875" style="32" customWidth="1"/>
    <col min="10794" max="10794" width="12.42578125" style="32" customWidth="1"/>
    <col min="10795" max="10795" width="11.7109375" style="32" customWidth="1"/>
    <col min="10796" max="11019" width="8.85546875" style="32"/>
    <col min="11020" max="11020" width="39.85546875" style="32" customWidth="1"/>
    <col min="11021" max="11021" width="13.140625" style="32" customWidth="1"/>
    <col min="11022" max="11037" width="8.85546875" style="32"/>
    <col min="11038" max="11039" width="12.140625" style="32" customWidth="1"/>
    <col min="11040" max="11040" width="11.140625" style="32" customWidth="1"/>
    <col min="11041" max="11041" width="12.140625" style="32" customWidth="1"/>
    <col min="11042" max="11047" width="8.85546875" style="32"/>
    <col min="11048" max="11048" width="12.28515625" style="32" customWidth="1"/>
    <col min="11049" max="11049" width="11.85546875" style="32" customWidth="1"/>
    <col min="11050" max="11050" width="12.42578125" style="32" customWidth="1"/>
    <col min="11051" max="11051" width="11.7109375" style="32" customWidth="1"/>
    <col min="11052" max="11275" width="8.85546875" style="32"/>
    <col min="11276" max="11276" width="39.85546875" style="32" customWidth="1"/>
    <col min="11277" max="11277" width="13.140625" style="32" customWidth="1"/>
    <col min="11278" max="11293" width="8.85546875" style="32"/>
    <col min="11294" max="11295" width="12.140625" style="32" customWidth="1"/>
    <col min="11296" max="11296" width="11.140625" style="32" customWidth="1"/>
    <col min="11297" max="11297" width="12.140625" style="32" customWidth="1"/>
    <col min="11298" max="11303" width="8.85546875" style="32"/>
    <col min="11304" max="11304" width="12.28515625" style="32" customWidth="1"/>
    <col min="11305" max="11305" width="11.85546875" style="32" customWidth="1"/>
    <col min="11306" max="11306" width="12.42578125" style="32" customWidth="1"/>
    <col min="11307" max="11307" width="11.7109375" style="32" customWidth="1"/>
    <col min="11308" max="11531" width="8.85546875" style="32"/>
    <col min="11532" max="11532" width="39.85546875" style="32" customWidth="1"/>
    <col min="11533" max="11533" width="13.140625" style="32" customWidth="1"/>
    <col min="11534" max="11549" width="8.85546875" style="32"/>
    <col min="11550" max="11551" width="12.140625" style="32" customWidth="1"/>
    <col min="11552" max="11552" width="11.140625" style="32" customWidth="1"/>
    <col min="11553" max="11553" width="12.140625" style="32" customWidth="1"/>
    <col min="11554" max="11559" width="8.85546875" style="32"/>
    <col min="11560" max="11560" width="12.28515625" style="32" customWidth="1"/>
    <col min="11561" max="11561" width="11.85546875" style="32" customWidth="1"/>
    <col min="11562" max="11562" width="12.42578125" style="32" customWidth="1"/>
    <col min="11563" max="11563" width="11.7109375" style="32" customWidth="1"/>
    <col min="11564" max="11787" width="8.85546875" style="32"/>
    <col min="11788" max="11788" width="39.85546875" style="32" customWidth="1"/>
    <col min="11789" max="11789" width="13.140625" style="32" customWidth="1"/>
    <col min="11790" max="11805" width="8.85546875" style="32"/>
    <col min="11806" max="11807" width="12.140625" style="32" customWidth="1"/>
    <col min="11808" max="11808" width="11.140625" style="32" customWidth="1"/>
    <col min="11809" max="11809" width="12.140625" style="32" customWidth="1"/>
    <col min="11810" max="11815" width="8.85546875" style="32"/>
    <col min="11816" max="11816" width="12.28515625" style="32" customWidth="1"/>
    <col min="11817" max="11817" width="11.85546875" style="32" customWidth="1"/>
    <col min="11818" max="11818" width="12.42578125" style="32" customWidth="1"/>
    <col min="11819" max="11819" width="11.7109375" style="32" customWidth="1"/>
    <col min="11820" max="12043" width="8.85546875" style="32"/>
    <col min="12044" max="12044" width="39.85546875" style="32" customWidth="1"/>
    <col min="12045" max="12045" width="13.140625" style="32" customWidth="1"/>
    <col min="12046" max="12061" width="8.85546875" style="32"/>
    <col min="12062" max="12063" width="12.140625" style="32" customWidth="1"/>
    <col min="12064" max="12064" width="11.140625" style="32" customWidth="1"/>
    <col min="12065" max="12065" width="12.140625" style="32" customWidth="1"/>
    <col min="12066" max="12071" width="8.85546875" style="32"/>
    <col min="12072" max="12072" width="12.28515625" style="32" customWidth="1"/>
    <col min="12073" max="12073" width="11.85546875" style="32" customWidth="1"/>
    <col min="12074" max="12074" width="12.42578125" style="32" customWidth="1"/>
    <col min="12075" max="12075" width="11.7109375" style="32" customWidth="1"/>
    <col min="12076" max="12299" width="8.85546875" style="32"/>
    <col min="12300" max="12300" width="39.85546875" style="32" customWidth="1"/>
    <col min="12301" max="12301" width="13.140625" style="32" customWidth="1"/>
    <col min="12302" max="12317" width="8.85546875" style="32"/>
    <col min="12318" max="12319" width="12.140625" style="32" customWidth="1"/>
    <col min="12320" max="12320" width="11.140625" style="32" customWidth="1"/>
    <col min="12321" max="12321" width="12.140625" style="32" customWidth="1"/>
    <col min="12322" max="12327" width="8.85546875" style="32"/>
    <col min="12328" max="12328" width="12.28515625" style="32" customWidth="1"/>
    <col min="12329" max="12329" width="11.85546875" style="32" customWidth="1"/>
    <col min="12330" max="12330" width="12.42578125" style="32" customWidth="1"/>
    <col min="12331" max="12331" width="11.7109375" style="32" customWidth="1"/>
    <col min="12332" max="12555" width="8.85546875" style="32"/>
    <col min="12556" max="12556" width="39.85546875" style="32" customWidth="1"/>
    <col min="12557" max="12557" width="13.140625" style="32" customWidth="1"/>
    <col min="12558" max="12573" width="8.85546875" style="32"/>
    <col min="12574" max="12575" width="12.140625" style="32" customWidth="1"/>
    <col min="12576" max="12576" width="11.140625" style="32" customWidth="1"/>
    <col min="12577" max="12577" width="12.140625" style="32" customWidth="1"/>
    <col min="12578" max="12583" width="8.85546875" style="32"/>
    <col min="12584" max="12584" width="12.28515625" style="32" customWidth="1"/>
    <col min="12585" max="12585" width="11.85546875" style="32" customWidth="1"/>
    <col min="12586" max="12586" width="12.42578125" style="32" customWidth="1"/>
    <col min="12587" max="12587" width="11.7109375" style="32" customWidth="1"/>
    <col min="12588" max="12811" width="8.85546875" style="32"/>
    <col min="12812" max="12812" width="39.85546875" style="32" customWidth="1"/>
    <col min="12813" max="12813" width="13.140625" style="32" customWidth="1"/>
    <col min="12814" max="12829" width="8.85546875" style="32"/>
    <col min="12830" max="12831" width="12.140625" style="32" customWidth="1"/>
    <col min="12832" max="12832" width="11.140625" style="32" customWidth="1"/>
    <col min="12833" max="12833" width="12.140625" style="32" customWidth="1"/>
    <col min="12834" max="12839" width="8.85546875" style="32"/>
    <col min="12840" max="12840" width="12.28515625" style="32" customWidth="1"/>
    <col min="12841" max="12841" width="11.85546875" style="32" customWidth="1"/>
    <col min="12842" max="12842" width="12.42578125" style="32" customWidth="1"/>
    <col min="12843" max="12843" width="11.7109375" style="32" customWidth="1"/>
    <col min="12844" max="13067" width="8.85546875" style="32"/>
    <col min="13068" max="13068" width="39.85546875" style="32" customWidth="1"/>
    <col min="13069" max="13069" width="13.140625" style="32" customWidth="1"/>
    <col min="13070" max="13085" width="8.85546875" style="32"/>
    <col min="13086" max="13087" width="12.140625" style="32" customWidth="1"/>
    <col min="13088" max="13088" width="11.140625" style="32" customWidth="1"/>
    <col min="13089" max="13089" width="12.140625" style="32" customWidth="1"/>
    <col min="13090" max="13095" width="8.85546875" style="32"/>
    <col min="13096" max="13096" width="12.28515625" style="32" customWidth="1"/>
    <col min="13097" max="13097" width="11.85546875" style="32" customWidth="1"/>
    <col min="13098" max="13098" width="12.42578125" style="32" customWidth="1"/>
    <col min="13099" max="13099" width="11.7109375" style="32" customWidth="1"/>
    <col min="13100" max="13323" width="8.85546875" style="32"/>
    <col min="13324" max="13324" width="39.85546875" style="32" customWidth="1"/>
    <col min="13325" max="13325" width="13.140625" style="32" customWidth="1"/>
    <col min="13326" max="13341" width="8.85546875" style="32"/>
    <col min="13342" max="13343" width="12.140625" style="32" customWidth="1"/>
    <col min="13344" max="13344" width="11.140625" style="32" customWidth="1"/>
    <col min="13345" max="13345" width="12.140625" style="32" customWidth="1"/>
    <col min="13346" max="13351" width="8.85546875" style="32"/>
    <col min="13352" max="13352" width="12.28515625" style="32" customWidth="1"/>
    <col min="13353" max="13353" width="11.85546875" style="32" customWidth="1"/>
    <col min="13354" max="13354" width="12.42578125" style="32" customWidth="1"/>
    <col min="13355" max="13355" width="11.7109375" style="32" customWidth="1"/>
    <col min="13356" max="13579" width="8.85546875" style="32"/>
    <col min="13580" max="13580" width="39.85546875" style="32" customWidth="1"/>
    <col min="13581" max="13581" width="13.140625" style="32" customWidth="1"/>
    <col min="13582" max="13597" width="8.85546875" style="32"/>
    <col min="13598" max="13599" width="12.140625" style="32" customWidth="1"/>
    <col min="13600" max="13600" width="11.140625" style="32" customWidth="1"/>
    <col min="13601" max="13601" width="12.140625" style="32" customWidth="1"/>
    <col min="13602" max="13607" width="8.85546875" style="32"/>
    <col min="13608" max="13608" width="12.28515625" style="32" customWidth="1"/>
    <col min="13609" max="13609" width="11.85546875" style="32" customWidth="1"/>
    <col min="13610" max="13610" width="12.42578125" style="32" customWidth="1"/>
    <col min="13611" max="13611" width="11.7109375" style="32" customWidth="1"/>
    <col min="13612" max="13835" width="8.85546875" style="32"/>
    <col min="13836" max="13836" width="39.85546875" style="32" customWidth="1"/>
    <col min="13837" max="13837" width="13.140625" style="32" customWidth="1"/>
    <col min="13838" max="13853" width="8.85546875" style="32"/>
    <col min="13854" max="13855" width="12.140625" style="32" customWidth="1"/>
    <col min="13856" max="13856" width="11.140625" style="32" customWidth="1"/>
    <col min="13857" max="13857" width="12.140625" style="32" customWidth="1"/>
    <col min="13858" max="13863" width="8.85546875" style="32"/>
    <col min="13864" max="13864" width="12.28515625" style="32" customWidth="1"/>
    <col min="13865" max="13865" width="11.85546875" style="32" customWidth="1"/>
    <col min="13866" max="13866" width="12.42578125" style="32" customWidth="1"/>
    <col min="13867" max="13867" width="11.7109375" style="32" customWidth="1"/>
    <col min="13868" max="14091" width="8.85546875" style="32"/>
    <col min="14092" max="14092" width="39.85546875" style="32" customWidth="1"/>
    <col min="14093" max="14093" width="13.140625" style="32" customWidth="1"/>
    <col min="14094" max="14109" width="8.85546875" style="32"/>
    <col min="14110" max="14111" width="12.140625" style="32" customWidth="1"/>
    <col min="14112" max="14112" width="11.140625" style="32" customWidth="1"/>
    <col min="14113" max="14113" width="12.140625" style="32" customWidth="1"/>
    <col min="14114" max="14119" width="8.85546875" style="32"/>
    <col min="14120" max="14120" width="12.28515625" style="32" customWidth="1"/>
    <col min="14121" max="14121" width="11.85546875" style="32" customWidth="1"/>
    <col min="14122" max="14122" width="12.42578125" style="32" customWidth="1"/>
    <col min="14123" max="14123" width="11.7109375" style="32" customWidth="1"/>
    <col min="14124" max="14347" width="8.85546875" style="32"/>
    <col min="14348" max="14348" width="39.85546875" style="32" customWidth="1"/>
    <col min="14349" max="14349" width="13.140625" style="32" customWidth="1"/>
    <col min="14350" max="14365" width="8.85546875" style="32"/>
    <col min="14366" max="14367" width="12.140625" style="32" customWidth="1"/>
    <col min="14368" max="14368" width="11.140625" style="32" customWidth="1"/>
    <col min="14369" max="14369" width="12.140625" style="32" customWidth="1"/>
    <col min="14370" max="14375" width="8.85546875" style="32"/>
    <col min="14376" max="14376" width="12.28515625" style="32" customWidth="1"/>
    <col min="14377" max="14377" width="11.85546875" style="32" customWidth="1"/>
    <col min="14378" max="14378" width="12.42578125" style="32" customWidth="1"/>
    <col min="14379" max="14379" width="11.7109375" style="32" customWidth="1"/>
    <col min="14380" max="14603" width="8.85546875" style="32"/>
    <col min="14604" max="14604" width="39.85546875" style="32" customWidth="1"/>
    <col min="14605" max="14605" width="13.140625" style="32" customWidth="1"/>
    <col min="14606" max="14621" width="8.85546875" style="32"/>
    <col min="14622" max="14623" width="12.140625" style="32" customWidth="1"/>
    <col min="14624" max="14624" width="11.140625" style="32" customWidth="1"/>
    <col min="14625" max="14625" width="12.140625" style="32" customWidth="1"/>
    <col min="14626" max="14631" width="8.85546875" style="32"/>
    <col min="14632" max="14632" width="12.28515625" style="32" customWidth="1"/>
    <col min="14633" max="14633" width="11.85546875" style="32" customWidth="1"/>
    <col min="14634" max="14634" width="12.42578125" style="32" customWidth="1"/>
    <col min="14635" max="14635" width="11.7109375" style="32" customWidth="1"/>
    <col min="14636" max="14859" width="8.85546875" style="32"/>
    <col min="14860" max="14860" width="39.85546875" style="32" customWidth="1"/>
    <col min="14861" max="14861" width="13.140625" style="32" customWidth="1"/>
    <col min="14862" max="14877" width="8.85546875" style="32"/>
    <col min="14878" max="14879" width="12.140625" style="32" customWidth="1"/>
    <col min="14880" max="14880" width="11.140625" style="32" customWidth="1"/>
    <col min="14881" max="14881" width="12.140625" style="32" customWidth="1"/>
    <col min="14882" max="14887" width="8.85546875" style="32"/>
    <col min="14888" max="14888" width="12.28515625" style="32" customWidth="1"/>
    <col min="14889" max="14889" width="11.85546875" style="32" customWidth="1"/>
    <col min="14890" max="14890" width="12.42578125" style="32" customWidth="1"/>
    <col min="14891" max="14891" width="11.7109375" style="32" customWidth="1"/>
    <col min="14892" max="15115" width="8.85546875" style="32"/>
    <col min="15116" max="15116" width="39.85546875" style="32" customWidth="1"/>
    <col min="15117" max="15117" width="13.140625" style="32" customWidth="1"/>
    <col min="15118" max="15133" width="8.85546875" style="32"/>
    <col min="15134" max="15135" width="12.140625" style="32" customWidth="1"/>
    <col min="15136" max="15136" width="11.140625" style="32" customWidth="1"/>
    <col min="15137" max="15137" width="12.140625" style="32" customWidth="1"/>
    <col min="15138" max="15143" width="8.85546875" style="32"/>
    <col min="15144" max="15144" width="12.28515625" style="32" customWidth="1"/>
    <col min="15145" max="15145" width="11.85546875" style="32" customWidth="1"/>
    <col min="15146" max="15146" width="12.42578125" style="32" customWidth="1"/>
    <col min="15147" max="15147" width="11.7109375" style="32" customWidth="1"/>
    <col min="15148" max="15371" width="8.85546875" style="32"/>
    <col min="15372" max="15372" width="39.85546875" style="32" customWidth="1"/>
    <col min="15373" max="15373" width="13.140625" style="32" customWidth="1"/>
    <col min="15374" max="15389" width="8.85546875" style="32"/>
    <col min="15390" max="15391" width="12.140625" style="32" customWidth="1"/>
    <col min="15392" max="15392" width="11.140625" style="32" customWidth="1"/>
    <col min="15393" max="15393" width="12.140625" style="32" customWidth="1"/>
    <col min="15394" max="15399" width="8.85546875" style="32"/>
    <col min="15400" max="15400" width="12.28515625" style="32" customWidth="1"/>
    <col min="15401" max="15401" width="11.85546875" style="32" customWidth="1"/>
    <col min="15402" max="15402" width="12.42578125" style="32" customWidth="1"/>
    <col min="15403" max="15403" width="11.7109375" style="32" customWidth="1"/>
    <col min="15404" max="15627" width="8.85546875" style="32"/>
    <col min="15628" max="15628" width="39.85546875" style="32" customWidth="1"/>
    <col min="15629" max="15629" width="13.140625" style="32" customWidth="1"/>
    <col min="15630" max="15645" width="8.85546875" style="32"/>
    <col min="15646" max="15647" width="12.140625" style="32" customWidth="1"/>
    <col min="15648" max="15648" width="11.140625" style="32" customWidth="1"/>
    <col min="15649" max="15649" width="12.140625" style="32" customWidth="1"/>
    <col min="15650" max="15655" width="8.85546875" style="32"/>
    <col min="15656" max="15656" width="12.28515625" style="32" customWidth="1"/>
    <col min="15657" max="15657" width="11.85546875" style="32" customWidth="1"/>
    <col min="15658" max="15658" width="12.42578125" style="32" customWidth="1"/>
    <col min="15659" max="15659" width="11.7109375" style="32" customWidth="1"/>
    <col min="15660" max="15883" width="8.85546875" style="32"/>
    <col min="15884" max="15884" width="39.85546875" style="32" customWidth="1"/>
    <col min="15885" max="15885" width="13.140625" style="32" customWidth="1"/>
    <col min="15886" max="15901" width="8.85546875" style="32"/>
    <col min="15902" max="15903" width="12.140625" style="32" customWidth="1"/>
    <col min="15904" max="15904" width="11.140625" style="32" customWidth="1"/>
    <col min="15905" max="15905" width="12.140625" style="32" customWidth="1"/>
    <col min="15906" max="15911" width="8.85546875" style="32"/>
    <col min="15912" max="15912" width="12.28515625" style="32" customWidth="1"/>
    <col min="15913" max="15913" width="11.85546875" style="32" customWidth="1"/>
    <col min="15914" max="15914" width="12.42578125" style="32" customWidth="1"/>
    <col min="15915" max="15915" width="11.7109375" style="32" customWidth="1"/>
    <col min="15916" max="16139" width="8.85546875" style="32"/>
    <col min="16140" max="16140" width="39.85546875" style="32" customWidth="1"/>
    <col min="16141" max="16141" width="13.140625" style="32" customWidth="1"/>
    <col min="16142" max="16157" width="8.85546875" style="32"/>
    <col min="16158" max="16159" width="12.140625" style="32" customWidth="1"/>
    <col min="16160" max="16160" width="11.140625" style="32" customWidth="1"/>
    <col min="16161" max="16161" width="12.140625" style="32" customWidth="1"/>
    <col min="16162" max="16167" width="8.85546875" style="32"/>
    <col min="16168" max="16168" width="12.28515625" style="32" customWidth="1"/>
    <col min="16169" max="16169" width="11.85546875" style="32" customWidth="1"/>
    <col min="16170" max="16170" width="12.42578125" style="32" customWidth="1"/>
    <col min="16171" max="16171" width="11.7109375" style="32" customWidth="1"/>
    <col min="16172" max="16384" width="8.85546875" style="32"/>
  </cols>
  <sheetData>
    <row r="2" spans="2:53" x14ac:dyDescent="0.25">
      <c r="B2" s="44" t="s">
        <v>241</v>
      </c>
      <c r="C2" s="33"/>
      <c r="D2" s="33"/>
      <c r="E2" s="33"/>
      <c r="F2" s="33"/>
      <c r="G2" s="33"/>
      <c r="H2" s="44"/>
      <c r="I2" s="256"/>
      <c r="J2" s="44"/>
      <c r="K2" s="33"/>
      <c r="L2" s="33"/>
      <c r="M2" s="33"/>
      <c r="N2" s="33"/>
      <c r="O2" s="33"/>
      <c r="P2" s="33"/>
      <c r="Q2" s="33"/>
      <c r="R2" s="12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174"/>
      <c r="AG2" s="174"/>
      <c r="AH2" s="174"/>
      <c r="AI2" s="174"/>
      <c r="AJ2" s="174"/>
      <c r="AK2" s="174"/>
      <c r="AL2" s="244"/>
      <c r="AM2" s="244"/>
      <c r="AN2" s="244"/>
      <c r="AO2" s="244"/>
      <c r="AP2" s="244"/>
      <c r="AQ2" s="244"/>
      <c r="AR2" s="244"/>
      <c r="AS2" s="244"/>
      <c r="AT2" s="244"/>
      <c r="AU2" s="244"/>
      <c r="AV2" s="244"/>
      <c r="AW2" s="244"/>
      <c r="AX2" s="244"/>
      <c r="AY2" s="244"/>
      <c r="AZ2" s="244"/>
      <c r="BA2" s="244"/>
    </row>
    <row r="3" spans="2:53" x14ac:dyDescent="0.25">
      <c r="B3" s="2" t="s">
        <v>50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2" t="s">
        <v>50</v>
      </c>
      <c r="R3" s="257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244"/>
      <c r="AG3" s="244"/>
      <c r="AH3" s="244"/>
      <c r="AI3" s="244"/>
      <c r="AJ3" s="244"/>
      <c r="AK3" s="244"/>
      <c r="AL3" s="244"/>
      <c r="AM3" s="244"/>
      <c r="AN3" s="244"/>
      <c r="AO3" s="244"/>
      <c r="AP3" s="244"/>
      <c r="AQ3" s="244"/>
      <c r="AR3" s="244"/>
      <c r="AS3" s="244"/>
      <c r="AT3" s="244"/>
      <c r="AU3" s="244"/>
      <c r="AV3" s="244"/>
      <c r="AW3" s="244"/>
      <c r="AX3" s="244"/>
      <c r="AY3" s="244"/>
      <c r="AZ3" s="244"/>
      <c r="BA3" s="244"/>
    </row>
    <row r="4" spans="2:53" ht="12.75" customHeight="1" x14ac:dyDescent="0.25">
      <c r="B4" s="4" t="s">
        <v>4</v>
      </c>
      <c r="C4" s="5" t="s">
        <v>262</v>
      </c>
      <c r="D4" s="46" t="s">
        <v>52</v>
      </c>
      <c r="E4" s="46" t="s">
        <v>53</v>
      </c>
      <c r="F4" s="46" t="s">
        <v>54</v>
      </c>
      <c r="G4" s="46" t="s">
        <v>55</v>
      </c>
      <c r="H4" s="5" t="s">
        <v>235</v>
      </c>
      <c r="I4" s="4" t="s">
        <v>4</v>
      </c>
      <c r="J4" s="5" t="s">
        <v>262</v>
      </c>
      <c r="K4" s="46" t="s">
        <v>52</v>
      </c>
      <c r="L4" s="46" t="s">
        <v>53</v>
      </c>
      <c r="M4" s="46" t="s">
        <v>54</v>
      </c>
      <c r="N4" s="46" t="s">
        <v>55</v>
      </c>
      <c r="O4" s="40" t="s">
        <v>235</v>
      </c>
      <c r="P4" s="48"/>
      <c r="Q4" s="4" t="s">
        <v>25</v>
      </c>
      <c r="R4" s="5" t="s">
        <v>262</v>
      </c>
      <c r="S4" s="46" t="s">
        <v>52</v>
      </c>
      <c r="T4" s="46" t="s">
        <v>53</v>
      </c>
      <c r="U4" s="46" t="s">
        <v>54</v>
      </c>
      <c r="V4" s="46" t="s">
        <v>55</v>
      </c>
      <c r="W4" s="40" t="s">
        <v>235</v>
      </c>
      <c r="X4" s="7" t="s">
        <v>25</v>
      </c>
      <c r="Y4" s="8" t="s">
        <v>51</v>
      </c>
      <c r="Z4" s="47" t="s">
        <v>52</v>
      </c>
      <c r="AA4" s="47" t="s">
        <v>53</v>
      </c>
      <c r="AB4" s="47" t="s">
        <v>54</v>
      </c>
      <c r="AC4" s="47" t="s">
        <v>55</v>
      </c>
      <c r="AD4" s="40" t="s">
        <v>235</v>
      </c>
      <c r="AE4" s="33"/>
      <c r="AF4" s="244"/>
      <c r="AG4" s="244"/>
      <c r="AH4" s="244"/>
      <c r="AI4" s="244"/>
      <c r="AJ4" s="244"/>
      <c r="AK4" s="244"/>
      <c r="AL4" s="244"/>
      <c r="AM4" s="244"/>
      <c r="AN4" s="244"/>
      <c r="AO4" s="244"/>
      <c r="AP4" s="244"/>
      <c r="AQ4" s="244"/>
      <c r="AR4" s="244"/>
      <c r="AS4" s="174"/>
      <c r="AT4" s="244"/>
      <c r="AU4" s="244"/>
      <c r="AV4" s="244"/>
      <c r="AW4" s="244"/>
      <c r="AX4" s="244"/>
      <c r="AY4" s="244"/>
      <c r="AZ4" s="244"/>
      <c r="BA4" s="244"/>
    </row>
    <row r="5" spans="2:53" x14ac:dyDescent="0.25">
      <c r="B5" s="39"/>
      <c r="C5" s="13" t="s">
        <v>5</v>
      </c>
      <c r="D5" s="13">
        <v>33</v>
      </c>
      <c r="E5" s="13">
        <v>29</v>
      </c>
      <c r="F5" s="13">
        <v>14</v>
      </c>
      <c r="G5" s="13">
        <v>90</v>
      </c>
      <c r="H5" s="167">
        <f>AVERAGE(D5:G5)</f>
        <v>41.5</v>
      </c>
      <c r="I5" s="49"/>
      <c r="J5" s="13" t="s">
        <v>5</v>
      </c>
      <c r="K5" s="13">
        <v>87</v>
      </c>
      <c r="L5" s="13">
        <v>74</v>
      </c>
      <c r="M5" s="13">
        <v>182</v>
      </c>
      <c r="N5" s="13">
        <v>64</v>
      </c>
      <c r="O5" s="167">
        <f>AVERAGE(K5:N5)</f>
        <v>101.75</v>
      </c>
      <c r="P5" s="170"/>
      <c r="Q5" s="39"/>
      <c r="R5" s="13" t="s">
        <v>5</v>
      </c>
      <c r="S5" s="13">
        <v>30</v>
      </c>
      <c r="T5" s="13">
        <v>29</v>
      </c>
      <c r="U5" s="13">
        <v>21</v>
      </c>
      <c r="V5" s="13">
        <v>19</v>
      </c>
      <c r="W5" s="167">
        <f>AVERAGE(S5:V5)</f>
        <v>24.75</v>
      </c>
      <c r="X5" s="39"/>
      <c r="Y5" s="13" t="s">
        <v>5</v>
      </c>
      <c r="Z5" s="13">
        <v>5</v>
      </c>
      <c r="AA5" s="13">
        <v>4</v>
      </c>
      <c r="AB5" s="13">
        <v>8</v>
      </c>
      <c r="AC5" s="13">
        <v>27</v>
      </c>
      <c r="AD5" s="167">
        <f>AVERAGE(Z5:AC5)</f>
        <v>11</v>
      </c>
      <c r="AE5" s="33"/>
      <c r="AF5" s="244"/>
      <c r="AG5" s="244"/>
      <c r="AH5" s="244"/>
      <c r="AI5" s="244"/>
      <c r="AJ5" s="244"/>
      <c r="AK5" s="244"/>
      <c r="AL5" s="244"/>
      <c r="AM5" s="244"/>
      <c r="AN5" s="244"/>
      <c r="AO5" s="244"/>
      <c r="AP5" s="244"/>
      <c r="AQ5" s="244"/>
      <c r="AR5" s="174"/>
      <c r="AS5" s="174"/>
      <c r="AT5" s="174"/>
      <c r="AU5" s="174"/>
      <c r="AV5" s="244"/>
      <c r="AW5" s="244"/>
      <c r="AX5" s="244"/>
      <c r="AY5" s="244"/>
      <c r="AZ5" s="244"/>
      <c r="BA5" s="244"/>
    </row>
    <row r="6" spans="2:53" x14ac:dyDescent="0.25">
      <c r="B6" s="52" t="s">
        <v>57</v>
      </c>
      <c r="C6" s="15" t="s">
        <v>6</v>
      </c>
      <c r="D6" s="15">
        <v>19</v>
      </c>
      <c r="E6" s="15">
        <v>46</v>
      </c>
      <c r="F6" s="15">
        <v>77</v>
      </c>
      <c r="G6" s="15">
        <v>74</v>
      </c>
      <c r="H6" s="37">
        <f>AVERAGE(D6:G6)</f>
        <v>54</v>
      </c>
      <c r="I6" s="52" t="s">
        <v>58</v>
      </c>
      <c r="J6" s="15" t="s">
        <v>6</v>
      </c>
      <c r="K6" s="15">
        <v>75</v>
      </c>
      <c r="L6" s="15">
        <v>134</v>
      </c>
      <c r="M6" s="15">
        <v>44</v>
      </c>
      <c r="N6" s="15">
        <v>89</v>
      </c>
      <c r="O6" s="37">
        <f>AVERAGE(K6:N6)</f>
        <v>85.5</v>
      </c>
      <c r="P6" s="170"/>
      <c r="Q6" s="52" t="s">
        <v>57</v>
      </c>
      <c r="R6" s="15" t="s">
        <v>6</v>
      </c>
      <c r="S6" s="15">
        <v>30</v>
      </c>
      <c r="T6" s="15">
        <v>40</v>
      </c>
      <c r="U6" s="15">
        <v>42</v>
      </c>
      <c r="V6" s="15">
        <v>21</v>
      </c>
      <c r="W6" s="37">
        <f>AVERAGE(S6:V6)</f>
        <v>33.25</v>
      </c>
      <c r="X6" s="52" t="s">
        <v>59</v>
      </c>
      <c r="Y6" s="15" t="s">
        <v>6</v>
      </c>
      <c r="Z6" s="15">
        <v>36</v>
      </c>
      <c r="AA6" s="15">
        <v>29</v>
      </c>
      <c r="AB6" s="15">
        <v>12</v>
      </c>
      <c r="AC6" s="15">
        <v>41</v>
      </c>
      <c r="AD6" s="37">
        <f>AVERAGE(Z6:AC6)</f>
        <v>29.5</v>
      </c>
      <c r="AE6" s="33"/>
      <c r="AF6" s="244"/>
      <c r="AG6" s="244"/>
      <c r="AH6" s="244"/>
      <c r="AI6" s="244"/>
      <c r="AJ6" s="244"/>
      <c r="AK6" s="244"/>
      <c r="AL6" s="244"/>
      <c r="AM6" s="244"/>
      <c r="AN6" s="244"/>
      <c r="AO6" s="244"/>
      <c r="AP6" s="244"/>
      <c r="AQ6" s="244"/>
      <c r="AR6" s="174"/>
      <c r="AS6" s="174"/>
      <c r="AT6" s="174"/>
      <c r="AU6" s="174"/>
      <c r="AV6" s="244"/>
      <c r="AW6" s="244"/>
      <c r="AX6" s="244"/>
      <c r="AY6" s="244"/>
      <c r="AZ6" s="244"/>
      <c r="BA6" s="244"/>
    </row>
    <row r="7" spans="2:53" x14ac:dyDescent="0.25">
      <c r="B7" s="54"/>
      <c r="C7" s="15" t="s">
        <v>7</v>
      </c>
      <c r="D7" s="15">
        <v>38</v>
      </c>
      <c r="E7" s="15">
        <v>29</v>
      </c>
      <c r="F7" s="15">
        <v>10</v>
      </c>
      <c r="G7" s="15">
        <v>23</v>
      </c>
      <c r="H7" s="37">
        <f>AVERAGE(D7:G7)</f>
        <v>25</v>
      </c>
      <c r="I7" s="36"/>
      <c r="J7" s="15" t="s">
        <v>7</v>
      </c>
      <c r="K7" s="15">
        <v>56</v>
      </c>
      <c r="L7" s="15">
        <v>79</v>
      </c>
      <c r="M7" s="15">
        <v>145</v>
      </c>
      <c r="N7" s="15">
        <v>52</v>
      </c>
      <c r="O7" s="37">
        <f>AVERAGE(K7:N7)</f>
        <v>83</v>
      </c>
      <c r="P7" s="170"/>
      <c r="Q7" s="54"/>
      <c r="R7" s="15" t="s">
        <v>7</v>
      </c>
      <c r="S7" s="15">
        <v>45</v>
      </c>
      <c r="T7" s="15">
        <v>29</v>
      </c>
      <c r="U7" s="15">
        <v>37</v>
      </c>
      <c r="V7" s="15">
        <v>23</v>
      </c>
      <c r="W7" s="37">
        <f>AVERAGE(S7:V7)</f>
        <v>33.5</v>
      </c>
      <c r="X7" s="36"/>
      <c r="Y7" s="15" t="s">
        <v>7</v>
      </c>
      <c r="Z7" s="15">
        <v>27</v>
      </c>
      <c r="AA7" s="15">
        <v>24</v>
      </c>
      <c r="AB7" s="15">
        <v>45</v>
      </c>
      <c r="AC7" s="15">
        <v>42</v>
      </c>
      <c r="AD7" s="37">
        <f>AVERAGE(Z7:AC7)</f>
        <v>34.5</v>
      </c>
      <c r="AE7" s="33"/>
      <c r="AF7" s="244"/>
      <c r="AG7" s="244"/>
      <c r="AH7" s="244"/>
      <c r="AI7" s="244"/>
      <c r="AJ7" s="244"/>
      <c r="AK7" s="244"/>
      <c r="AL7" s="244"/>
      <c r="AM7" s="244"/>
      <c r="AN7" s="244"/>
      <c r="AO7" s="244"/>
      <c r="AP7" s="244"/>
      <c r="AQ7" s="244"/>
      <c r="AR7" s="172"/>
      <c r="AS7" s="172"/>
      <c r="AT7" s="174"/>
      <c r="AU7" s="174"/>
      <c r="AV7" s="244"/>
      <c r="AW7" s="244"/>
      <c r="AX7" s="244"/>
      <c r="AY7" s="244"/>
      <c r="AZ7" s="244"/>
      <c r="BA7" s="244"/>
    </row>
    <row r="8" spans="2:53" x14ac:dyDescent="0.25">
      <c r="B8" s="54"/>
      <c r="C8" s="15" t="s">
        <v>8</v>
      </c>
      <c r="D8" s="15">
        <v>34</v>
      </c>
      <c r="E8" s="15">
        <v>61</v>
      </c>
      <c r="F8" s="15">
        <v>51</v>
      </c>
      <c r="G8" s="15">
        <v>27</v>
      </c>
      <c r="H8" s="37">
        <f>AVERAGE(D8:G8)</f>
        <v>43.25</v>
      </c>
      <c r="I8" s="36"/>
      <c r="J8" s="15" t="s">
        <v>8</v>
      </c>
      <c r="K8" s="15">
        <v>175</v>
      </c>
      <c r="L8" s="15">
        <v>83</v>
      </c>
      <c r="M8" s="15">
        <v>72</v>
      </c>
      <c r="N8" s="15">
        <v>65</v>
      </c>
      <c r="O8" s="37">
        <f>AVERAGE(K8:N8)</f>
        <v>98.75</v>
      </c>
      <c r="P8" s="170"/>
      <c r="Q8" s="54"/>
      <c r="R8" s="15" t="s">
        <v>8</v>
      </c>
      <c r="S8" s="15">
        <v>46</v>
      </c>
      <c r="T8" s="15">
        <v>34</v>
      </c>
      <c r="U8" s="15">
        <v>21</v>
      </c>
      <c r="V8" s="15">
        <v>23</v>
      </c>
      <c r="W8" s="37">
        <f>AVERAGE(S8:V8)</f>
        <v>31</v>
      </c>
      <c r="X8" s="36"/>
      <c r="Y8" s="15" t="s">
        <v>8</v>
      </c>
      <c r="Z8" s="15">
        <v>27</v>
      </c>
      <c r="AA8" s="15">
        <v>27</v>
      </c>
      <c r="AB8" s="15">
        <v>40</v>
      </c>
      <c r="AC8" s="15">
        <v>51</v>
      </c>
      <c r="AD8" s="37">
        <f>AVERAGE(Z8:AC8)</f>
        <v>36.25</v>
      </c>
      <c r="AE8" s="33"/>
      <c r="AF8" s="244"/>
      <c r="AG8" s="244"/>
      <c r="AH8" s="244"/>
      <c r="AI8" s="244"/>
      <c r="AJ8" s="244"/>
      <c r="AK8" s="244"/>
      <c r="AL8" s="244"/>
      <c r="AM8" s="244"/>
      <c r="AN8" s="244"/>
      <c r="AO8" s="244"/>
      <c r="AP8" s="244"/>
      <c r="AQ8" s="244"/>
      <c r="AR8" s="244"/>
      <c r="AS8" s="244"/>
      <c r="AT8" s="174"/>
      <c r="AU8" s="174"/>
      <c r="AV8" s="244"/>
      <c r="AW8" s="244"/>
      <c r="AX8" s="244"/>
      <c r="AY8" s="244"/>
      <c r="AZ8" s="244"/>
      <c r="BA8" s="244"/>
    </row>
    <row r="9" spans="2:53" x14ac:dyDescent="0.25">
      <c r="B9" s="36"/>
      <c r="C9" s="15"/>
      <c r="D9" s="15"/>
      <c r="E9" s="15"/>
      <c r="F9" s="15"/>
      <c r="G9" s="16" t="s">
        <v>56</v>
      </c>
      <c r="H9" s="17">
        <f>AVERAGE(H5:H8)</f>
        <v>40.9375</v>
      </c>
      <c r="I9" s="36"/>
      <c r="J9" s="15"/>
      <c r="K9" s="15"/>
      <c r="L9" s="15"/>
      <c r="M9" s="15"/>
      <c r="N9" s="16" t="s">
        <v>56</v>
      </c>
      <c r="O9" s="17">
        <f>AVERAGE(O5:O8)</f>
        <v>92.25</v>
      </c>
      <c r="P9" s="48"/>
      <c r="Q9" s="36"/>
      <c r="R9" s="15"/>
      <c r="S9" s="15"/>
      <c r="T9" s="15"/>
      <c r="U9" s="15"/>
      <c r="V9" s="16" t="s">
        <v>56</v>
      </c>
      <c r="W9" s="17">
        <f>AVERAGE(W5:W8)</f>
        <v>30.625</v>
      </c>
      <c r="X9" s="36"/>
      <c r="Y9" s="15"/>
      <c r="Z9" s="15"/>
      <c r="AA9" s="15"/>
      <c r="AB9" s="15"/>
      <c r="AC9" s="16" t="s">
        <v>56</v>
      </c>
      <c r="AD9" s="17">
        <f>AVERAGE(AD5:AD8)</f>
        <v>27.8125</v>
      </c>
      <c r="AE9" s="33"/>
      <c r="AF9" s="244"/>
      <c r="AG9" s="244"/>
      <c r="AH9" s="244"/>
      <c r="AI9" s="244"/>
      <c r="AJ9" s="244"/>
      <c r="AK9" s="244"/>
      <c r="AL9" s="244"/>
      <c r="AM9" s="244"/>
      <c r="AN9" s="244"/>
      <c r="AO9" s="172"/>
      <c r="AP9" s="172"/>
      <c r="AQ9" s="244"/>
      <c r="AR9" s="244"/>
      <c r="AS9" s="244"/>
      <c r="AT9" s="174"/>
      <c r="AU9" s="174"/>
      <c r="AV9" s="244"/>
      <c r="AW9" s="244"/>
      <c r="AX9" s="244"/>
      <c r="AY9" s="244"/>
      <c r="AZ9" s="244"/>
      <c r="BA9" s="244"/>
    </row>
    <row r="10" spans="2:53" x14ac:dyDescent="0.25">
      <c r="B10" s="36"/>
      <c r="C10" s="15"/>
      <c r="D10" s="15"/>
      <c r="E10" s="15"/>
      <c r="F10" s="15"/>
      <c r="G10" s="16" t="s">
        <v>22</v>
      </c>
      <c r="H10" s="17">
        <f>_xlfn.STDEV.S(H5:H8)</f>
        <v>11.976322126039641</v>
      </c>
      <c r="I10" s="36"/>
      <c r="J10" s="15"/>
      <c r="K10" s="15"/>
      <c r="L10" s="15"/>
      <c r="M10" s="15"/>
      <c r="N10" s="16" t="s">
        <v>22</v>
      </c>
      <c r="O10" s="17">
        <f>_xlfn.STDEV.S(O5:O8)</f>
        <v>9.3741666296263375</v>
      </c>
      <c r="P10" s="48"/>
      <c r="Q10" s="36"/>
      <c r="R10" s="15"/>
      <c r="S10" s="15"/>
      <c r="T10" s="15"/>
      <c r="U10" s="15"/>
      <c r="V10" s="16" t="s">
        <v>22</v>
      </c>
      <c r="W10" s="17">
        <f>_xlfn.STDEV.S(W5:W8)</f>
        <v>4.0748210594658838</v>
      </c>
      <c r="X10" s="36"/>
      <c r="Y10" s="15"/>
      <c r="Z10" s="15"/>
      <c r="AA10" s="15"/>
      <c r="AB10" s="15"/>
      <c r="AC10" s="16" t="s">
        <v>22</v>
      </c>
      <c r="AD10" s="17">
        <f>_xlfn.STDEV.S(AD5:AD8)</f>
        <v>11.567510175775366</v>
      </c>
      <c r="AE10" s="33"/>
      <c r="AF10" s="244"/>
      <c r="AG10" s="244"/>
      <c r="AH10" s="244"/>
      <c r="AI10" s="244"/>
      <c r="AJ10" s="244"/>
      <c r="AK10" s="244"/>
      <c r="AL10" s="244"/>
      <c r="AM10" s="244"/>
      <c r="AN10" s="244"/>
      <c r="AO10" s="172"/>
      <c r="AP10" s="172"/>
      <c r="AQ10" s="244"/>
      <c r="AR10" s="244"/>
      <c r="AS10" s="244"/>
      <c r="AT10" s="174"/>
      <c r="AU10" s="174"/>
      <c r="AV10" s="244"/>
      <c r="AW10" s="244"/>
      <c r="AX10" s="244"/>
      <c r="AY10" s="244"/>
      <c r="AZ10" s="244"/>
      <c r="BA10" s="244"/>
    </row>
    <row r="11" spans="2:53" x14ac:dyDescent="0.25">
      <c r="B11" s="4" t="s">
        <v>4</v>
      </c>
      <c r="C11" s="5" t="s">
        <v>262</v>
      </c>
      <c r="D11" s="46" t="s">
        <v>52</v>
      </c>
      <c r="E11" s="46" t="s">
        <v>53</v>
      </c>
      <c r="F11" s="46" t="s">
        <v>54</v>
      </c>
      <c r="G11" s="46" t="s">
        <v>55</v>
      </c>
      <c r="H11" s="5" t="s">
        <v>235</v>
      </c>
      <c r="I11" s="4" t="s">
        <v>4</v>
      </c>
      <c r="J11" s="5" t="s">
        <v>262</v>
      </c>
      <c r="K11" s="46" t="s">
        <v>52</v>
      </c>
      <c r="L11" s="46" t="s">
        <v>53</v>
      </c>
      <c r="M11" s="46" t="s">
        <v>54</v>
      </c>
      <c r="N11" s="46" t="s">
        <v>55</v>
      </c>
      <c r="O11" s="40" t="s">
        <v>235</v>
      </c>
      <c r="P11" s="48"/>
      <c r="Q11" s="4" t="s">
        <v>25</v>
      </c>
      <c r="R11" s="8" t="s">
        <v>262</v>
      </c>
      <c r="S11" s="46" t="s">
        <v>52</v>
      </c>
      <c r="T11" s="46" t="s">
        <v>53</v>
      </c>
      <c r="U11" s="46" t="s">
        <v>54</v>
      </c>
      <c r="V11" s="46" t="s">
        <v>55</v>
      </c>
      <c r="W11" s="40" t="s">
        <v>235</v>
      </c>
      <c r="X11" s="5" t="s">
        <v>25</v>
      </c>
      <c r="Y11" s="5" t="s">
        <v>262</v>
      </c>
      <c r="Z11" s="46" t="s">
        <v>52</v>
      </c>
      <c r="AA11" s="46" t="s">
        <v>53</v>
      </c>
      <c r="AB11" s="46" t="s">
        <v>54</v>
      </c>
      <c r="AC11" s="46" t="s">
        <v>55</v>
      </c>
      <c r="AD11" s="40" t="s">
        <v>235</v>
      </c>
      <c r="AE11" s="33"/>
      <c r="AF11" s="244"/>
      <c r="AG11" s="244"/>
      <c r="AH11" s="244"/>
      <c r="AI11" s="244"/>
      <c r="AJ11" s="244"/>
      <c r="AK11" s="244"/>
      <c r="AL11" s="244"/>
      <c r="AM11" s="244"/>
      <c r="AN11" s="244"/>
      <c r="AO11" s="172"/>
      <c r="AP11" s="172"/>
      <c r="AQ11" s="244"/>
      <c r="AR11" s="244"/>
      <c r="AS11" s="244"/>
      <c r="AT11" s="174"/>
      <c r="AU11" s="174"/>
      <c r="AV11" s="244"/>
      <c r="AW11" s="244"/>
      <c r="AX11" s="244"/>
      <c r="AY11" s="244"/>
      <c r="AZ11" s="244"/>
      <c r="BA11" s="244"/>
    </row>
    <row r="12" spans="2:53" x14ac:dyDescent="0.25">
      <c r="B12" s="39"/>
      <c r="C12" s="13" t="s">
        <v>5</v>
      </c>
      <c r="D12" s="13">
        <v>17</v>
      </c>
      <c r="E12" s="13">
        <v>16</v>
      </c>
      <c r="F12" s="13">
        <v>44</v>
      </c>
      <c r="G12" s="13">
        <v>51</v>
      </c>
      <c r="H12" s="13">
        <f>AVERAGE(D12:G12)</f>
        <v>32</v>
      </c>
      <c r="I12" s="49"/>
      <c r="J12" s="13" t="s">
        <v>5</v>
      </c>
      <c r="K12" s="13">
        <v>287</v>
      </c>
      <c r="L12" s="13">
        <v>212</v>
      </c>
      <c r="M12" s="13">
        <v>224</v>
      </c>
      <c r="N12" s="13">
        <v>220</v>
      </c>
      <c r="O12" s="167">
        <f>AVERAGE(K12:N12)</f>
        <v>235.75</v>
      </c>
      <c r="P12" s="170"/>
      <c r="Q12" s="39"/>
      <c r="R12" s="13" t="s">
        <v>5</v>
      </c>
      <c r="S12" s="15">
        <v>50</v>
      </c>
      <c r="T12" s="15">
        <v>40</v>
      </c>
      <c r="U12" s="15">
        <v>24</v>
      </c>
      <c r="V12" s="15">
        <v>20</v>
      </c>
      <c r="W12" s="167">
        <f>AVERAGE(S12:V12)</f>
        <v>33.5</v>
      </c>
      <c r="X12" s="13"/>
      <c r="Y12" s="13" t="s">
        <v>5</v>
      </c>
      <c r="Z12" s="258">
        <v>52</v>
      </c>
      <c r="AA12" s="258">
        <v>27</v>
      </c>
      <c r="AB12" s="258">
        <v>34</v>
      </c>
      <c r="AC12" s="258">
        <v>52</v>
      </c>
      <c r="AD12" s="167">
        <f>AVERAGE(Z12:AC12)</f>
        <v>41.25</v>
      </c>
      <c r="AE12" s="33"/>
      <c r="AF12" s="244"/>
      <c r="AG12" s="244"/>
      <c r="AH12" s="244"/>
      <c r="AI12" s="244"/>
      <c r="AJ12" s="244"/>
      <c r="AK12" s="244"/>
      <c r="AL12" s="244"/>
      <c r="AM12" s="244"/>
      <c r="AN12" s="244"/>
      <c r="AO12" s="244"/>
      <c r="AP12" s="244"/>
      <c r="AQ12" s="244"/>
      <c r="AR12" s="244"/>
      <c r="AS12" s="244"/>
      <c r="AT12" s="174"/>
      <c r="AU12" s="174"/>
      <c r="AV12" s="244"/>
      <c r="AW12" s="244"/>
      <c r="AX12" s="244"/>
      <c r="AY12" s="244"/>
      <c r="AZ12" s="244"/>
      <c r="BA12" s="244"/>
    </row>
    <row r="13" spans="2:53" x14ac:dyDescent="0.25">
      <c r="B13" s="52" t="s">
        <v>60</v>
      </c>
      <c r="C13" s="15" t="s">
        <v>6</v>
      </c>
      <c r="D13" s="15">
        <v>20</v>
      </c>
      <c r="E13" s="15">
        <v>66</v>
      </c>
      <c r="F13" s="15">
        <v>30</v>
      </c>
      <c r="G13" s="15">
        <v>29</v>
      </c>
      <c r="H13" s="15">
        <f>AVERAGE(D13:G13)</f>
        <v>36.25</v>
      </c>
      <c r="I13" s="52" t="s">
        <v>61</v>
      </c>
      <c r="J13" s="15" t="s">
        <v>6</v>
      </c>
      <c r="K13" s="15">
        <v>244</v>
      </c>
      <c r="L13" s="15">
        <v>203</v>
      </c>
      <c r="M13" s="15">
        <v>229</v>
      </c>
      <c r="N13" s="15">
        <v>214</v>
      </c>
      <c r="O13" s="37">
        <f>AVERAGE(K13:N13)</f>
        <v>222.5</v>
      </c>
      <c r="P13" s="170"/>
      <c r="Q13" s="52" t="s">
        <v>60</v>
      </c>
      <c r="R13" s="15" t="s">
        <v>6</v>
      </c>
      <c r="S13" s="15">
        <v>30</v>
      </c>
      <c r="T13" s="15">
        <v>20</v>
      </c>
      <c r="U13" s="15">
        <v>19</v>
      </c>
      <c r="V13" s="15">
        <v>24</v>
      </c>
      <c r="W13" s="37">
        <f>AVERAGE(S13:V13)</f>
        <v>23.25</v>
      </c>
      <c r="X13" s="53" t="s">
        <v>62</v>
      </c>
      <c r="Y13" s="15" t="s">
        <v>6</v>
      </c>
      <c r="Z13" s="258">
        <v>61</v>
      </c>
      <c r="AA13" s="258">
        <v>23</v>
      </c>
      <c r="AB13" s="258">
        <v>21</v>
      </c>
      <c r="AC13" s="258">
        <v>22</v>
      </c>
      <c r="AD13" s="37">
        <f>AVERAGE(Z13:AC13)</f>
        <v>31.75</v>
      </c>
      <c r="AE13" s="33"/>
      <c r="AF13" s="244"/>
      <c r="AG13" s="244"/>
      <c r="AH13" s="244"/>
      <c r="AI13" s="244"/>
      <c r="AJ13" s="244"/>
      <c r="AK13" s="244"/>
      <c r="AL13" s="244"/>
      <c r="AM13" s="174"/>
      <c r="AN13" s="174"/>
      <c r="AO13" s="172"/>
      <c r="AP13" s="172"/>
      <c r="AQ13" s="174"/>
      <c r="AR13" s="174"/>
      <c r="AS13" s="244"/>
      <c r="AT13" s="174"/>
      <c r="AU13" s="174"/>
      <c r="AV13" s="244"/>
      <c r="AW13" s="244"/>
      <c r="AX13" s="244"/>
      <c r="AY13" s="244"/>
      <c r="AZ13" s="244"/>
      <c r="BA13" s="244"/>
    </row>
    <row r="14" spans="2:53" x14ac:dyDescent="0.25">
      <c r="B14" s="36"/>
      <c r="C14" s="15" t="s">
        <v>7</v>
      </c>
      <c r="D14" s="15">
        <v>29</v>
      </c>
      <c r="E14" s="15">
        <v>29</v>
      </c>
      <c r="F14" s="15">
        <v>19</v>
      </c>
      <c r="G14" s="15">
        <v>24</v>
      </c>
      <c r="H14" s="15">
        <f>AVERAGE(D14:G14)</f>
        <v>25.25</v>
      </c>
      <c r="I14" s="36"/>
      <c r="J14" s="15" t="s">
        <v>7</v>
      </c>
      <c r="K14" s="15">
        <v>182</v>
      </c>
      <c r="L14" s="15">
        <v>181</v>
      </c>
      <c r="M14" s="15">
        <v>261</v>
      </c>
      <c r="N14" s="15">
        <v>245</v>
      </c>
      <c r="O14" s="37">
        <f>AVERAGE(K14:N14)</f>
        <v>217.25</v>
      </c>
      <c r="P14" s="170"/>
      <c r="Q14" s="36"/>
      <c r="R14" s="15" t="s">
        <v>7</v>
      </c>
      <c r="S14" s="15">
        <v>30</v>
      </c>
      <c r="T14" s="15">
        <v>35</v>
      </c>
      <c r="U14" s="15">
        <v>55</v>
      </c>
      <c r="V14" s="15">
        <v>15</v>
      </c>
      <c r="W14" s="37">
        <f>AVERAGE(S14:V14)</f>
        <v>33.75</v>
      </c>
      <c r="X14" s="15"/>
      <c r="Y14" s="15" t="s">
        <v>7</v>
      </c>
      <c r="Z14" s="258">
        <v>45</v>
      </c>
      <c r="AA14" s="258">
        <v>39</v>
      </c>
      <c r="AB14" s="258">
        <v>18</v>
      </c>
      <c r="AC14" s="258">
        <v>33</v>
      </c>
      <c r="AD14" s="37">
        <f>AVERAGE(Z14:AC14)</f>
        <v>33.75</v>
      </c>
      <c r="AE14" s="33"/>
      <c r="AF14" s="244"/>
      <c r="AG14" s="244"/>
      <c r="AH14" s="244"/>
      <c r="AI14" s="244"/>
      <c r="AJ14" s="244"/>
      <c r="AK14" s="244"/>
      <c r="AL14" s="244"/>
      <c r="AM14" s="244"/>
      <c r="AN14" s="244"/>
      <c r="AO14" s="244"/>
      <c r="AP14" s="244"/>
      <c r="AQ14" s="244"/>
      <c r="AR14" s="244"/>
      <c r="AS14" s="244"/>
      <c r="AT14" s="57"/>
      <c r="AU14" s="57"/>
      <c r="AV14" s="57"/>
      <c r="AW14" s="244"/>
      <c r="AX14" s="244"/>
      <c r="AY14" s="244"/>
      <c r="AZ14" s="244"/>
      <c r="BA14" s="244"/>
    </row>
    <row r="15" spans="2:53" x14ac:dyDescent="0.25">
      <c r="B15" s="36"/>
      <c r="C15" s="15" t="s">
        <v>8</v>
      </c>
      <c r="D15" s="15">
        <v>128</v>
      </c>
      <c r="E15" s="15">
        <v>110</v>
      </c>
      <c r="F15" s="15">
        <v>59</v>
      </c>
      <c r="G15" s="15">
        <v>64</v>
      </c>
      <c r="H15" s="15">
        <f>AVERAGE(D15:G15)</f>
        <v>90.25</v>
      </c>
      <c r="I15" s="36"/>
      <c r="J15" s="15" t="s">
        <v>8</v>
      </c>
      <c r="K15" s="15">
        <v>281</v>
      </c>
      <c r="L15" s="15">
        <v>265</v>
      </c>
      <c r="M15" s="15">
        <v>230</v>
      </c>
      <c r="N15" s="15">
        <v>276</v>
      </c>
      <c r="O15" s="37">
        <f>AVERAGE(K15:N15)</f>
        <v>263</v>
      </c>
      <c r="P15" s="170"/>
      <c r="Q15" s="36"/>
      <c r="R15" s="15" t="s">
        <v>8</v>
      </c>
      <c r="S15" s="15">
        <v>34</v>
      </c>
      <c r="T15" s="15">
        <v>42</v>
      </c>
      <c r="U15" s="15">
        <v>19</v>
      </c>
      <c r="V15" s="15">
        <v>23</v>
      </c>
      <c r="W15" s="37">
        <f>AVERAGE(S15:V15)</f>
        <v>29.5</v>
      </c>
      <c r="X15" s="15"/>
      <c r="Y15" s="15" t="s">
        <v>8</v>
      </c>
      <c r="Z15" s="258">
        <v>46</v>
      </c>
      <c r="AA15" s="258">
        <v>39</v>
      </c>
      <c r="AB15" s="258">
        <v>34</v>
      </c>
      <c r="AC15" s="258">
        <v>17</v>
      </c>
      <c r="AD15" s="37">
        <f>AVERAGE(Z15:AC15)</f>
        <v>34</v>
      </c>
      <c r="AE15" s="33"/>
      <c r="AF15" s="244"/>
      <c r="AG15" s="244"/>
      <c r="AH15" s="244"/>
      <c r="AI15" s="244"/>
      <c r="AJ15" s="244"/>
      <c r="AK15" s="244"/>
      <c r="AL15" s="244"/>
      <c r="AM15" s="244"/>
      <c r="AN15" s="244"/>
      <c r="AO15" s="172"/>
      <c r="AP15" s="172"/>
      <c r="AQ15" s="244"/>
      <c r="AR15" s="244"/>
      <c r="AS15" s="172"/>
      <c r="AT15" s="172"/>
      <c r="AU15" s="172"/>
      <c r="AV15" s="244"/>
      <c r="AW15" s="244"/>
      <c r="AX15" s="244"/>
      <c r="AY15" s="244"/>
      <c r="AZ15" s="244"/>
      <c r="BA15" s="244"/>
    </row>
    <row r="16" spans="2:53" x14ac:dyDescent="0.25">
      <c r="B16" s="36"/>
      <c r="C16" s="15"/>
      <c r="D16" s="15"/>
      <c r="E16" s="15"/>
      <c r="F16" s="15"/>
      <c r="G16" s="16" t="s">
        <v>56</v>
      </c>
      <c r="H16" s="17">
        <f>AVERAGE(H12:H15)</f>
        <v>45.9375</v>
      </c>
      <c r="I16" s="36"/>
      <c r="J16" s="15"/>
      <c r="K16" s="15"/>
      <c r="L16" s="15"/>
      <c r="M16" s="15"/>
      <c r="N16" s="16" t="s">
        <v>56</v>
      </c>
      <c r="O16" s="17">
        <f>AVERAGE(O12:O15)</f>
        <v>234.625</v>
      </c>
      <c r="P16" s="48"/>
      <c r="Q16" s="36"/>
      <c r="R16" s="15"/>
      <c r="S16" s="15"/>
      <c r="T16" s="15"/>
      <c r="U16" s="15"/>
      <c r="V16" s="16" t="s">
        <v>56</v>
      </c>
      <c r="W16" s="17">
        <f>AVERAGE(W12:W15)</f>
        <v>30</v>
      </c>
      <c r="X16" s="36"/>
      <c r="Y16" s="15"/>
      <c r="Z16" s="15"/>
      <c r="AA16" s="15"/>
      <c r="AB16" s="15"/>
      <c r="AC16" s="16" t="s">
        <v>56</v>
      </c>
      <c r="AD16" s="17">
        <f>AVERAGE(AD12:AD15)</f>
        <v>35.1875</v>
      </c>
      <c r="AE16" s="33"/>
      <c r="AF16" s="244"/>
      <c r="AG16" s="244"/>
      <c r="AH16" s="244"/>
      <c r="AI16" s="244"/>
      <c r="AJ16" s="244"/>
      <c r="AK16" s="244"/>
      <c r="AL16" s="244"/>
      <c r="AM16" s="244"/>
      <c r="AN16" s="244"/>
      <c r="AO16" s="244"/>
      <c r="AP16" s="244"/>
      <c r="AQ16" s="244"/>
      <c r="AR16" s="57"/>
      <c r="AS16" s="57"/>
      <c r="AT16" s="57"/>
      <c r="AU16" s="57"/>
      <c r="AV16" s="244"/>
      <c r="AW16" s="244"/>
      <c r="AX16" s="244"/>
      <c r="AY16" s="244"/>
      <c r="AZ16" s="244"/>
      <c r="BA16" s="244"/>
    </row>
    <row r="17" spans="2:115" ht="15.4" customHeight="1" x14ac:dyDescent="0.25">
      <c r="B17" s="36"/>
      <c r="C17" s="15"/>
      <c r="D17" s="15"/>
      <c r="E17" s="15"/>
      <c r="F17" s="15"/>
      <c r="G17" s="16" t="s">
        <v>22</v>
      </c>
      <c r="H17" s="17">
        <f>_xlfn.STDEV.S(H12:H15)</f>
        <v>29.886852599986728</v>
      </c>
      <c r="I17" s="36"/>
      <c r="J17" s="15"/>
      <c r="K17" s="15"/>
      <c r="L17" s="15"/>
      <c r="M17" s="15"/>
      <c r="N17" s="16" t="s">
        <v>22</v>
      </c>
      <c r="O17" s="17">
        <f>_xlfn.STDEV.S(O12:O15)</f>
        <v>20.455744914326637</v>
      </c>
      <c r="P17" s="48"/>
      <c r="Q17" s="36"/>
      <c r="R17" s="15"/>
      <c r="S17" s="15"/>
      <c r="T17" s="15"/>
      <c r="U17" s="15"/>
      <c r="V17" s="16" t="s">
        <v>22</v>
      </c>
      <c r="W17" s="17">
        <f>_xlfn.STDEV.S(W12:W15)</f>
        <v>4.9032302277852171</v>
      </c>
      <c r="X17" s="36"/>
      <c r="Y17" s="15"/>
      <c r="Z17" s="15"/>
      <c r="AA17" s="15"/>
      <c r="AB17" s="15"/>
      <c r="AC17" s="16" t="s">
        <v>22</v>
      </c>
      <c r="AD17" s="17">
        <f>_xlfn.STDEV.S(AD12:AD15)</f>
        <v>4.1652080780356382</v>
      </c>
      <c r="AE17" s="33"/>
      <c r="AF17" s="244"/>
      <c r="AG17" s="244"/>
      <c r="AH17" s="244"/>
      <c r="AI17" s="244"/>
      <c r="AJ17" s="244"/>
      <c r="AK17" s="244"/>
      <c r="AL17" s="244"/>
      <c r="AM17" s="244"/>
      <c r="AN17" s="174"/>
      <c r="AO17" s="244"/>
      <c r="AP17" s="244"/>
      <c r="AQ17" s="244"/>
      <c r="AR17" s="244"/>
      <c r="AS17" s="244"/>
      <c r="AT17" s="173"/>
      <c r="AU17" s="173"/>
      <c r="AV17" s="244"/>
      <c r="AW17" s="244"/>
      <c r="AX17" s="244"/>
      <c r="AY17" s="244"/>
      <c r="AZ17" s="244"/>
      <c r="BA17" s="244"/>
    </row>
    <row r="18" spans="2:115" x14ac:dyDescent="0.25">
      <c r="B18" s="4" t="s">
        <v>4</v>
      </c>
      <c r="C18" s="5" t="s">
        <v>262</v>
      </c>
      <c r="D18" s="46" t="s">
        <v>52</v>
      </c>
      <c r="E18" s="46" t="s">
        <v>53</v>
      </c>
      <c r="F18" s="46" t="s">
        <v>54</v>
      </c>
      <c r="G18" s="46" t="s">
        <v>55</v>
      </c>
      <c r="H18" s="5" t="s">
        <v>235</v>
      </c>
      <c r="I18" s="4" t="s">
        <v>4</v>
      </c>
      <c r="J18" s="5" t="s">
        <v>262</v>
      </c>
      <c r="K18" s="46" t="s">
        <v>52</v>
      </c>
      <c r="L18" s="46" t="s">
        <v>53</v>
      </c>
      <c r="M18" s="46" t="s">
        <v>54</v>
      </c>
      <c r="N18" s="46" t="s">
        <v>55</v>
      </c>
      <c r="O18" s="40" t="s">
        <v>235</v>
      </c>
      <c r="P18" s="48"/>
      <c r="Q18" s="4" t="s">
        <v>25</v>
      </c>
      <c r="R18" s="8" t="s">
        <v>262</v>
      </c>
      <c r="S18" s="46" t="s">
        <v>52</v>
      </c>
      <c r="T18" s="46" t="s">
        <v>53</v>
      </c>
      <c r="U18" s="46" t="s">
        <v>54</v>
      </c>
      <c r="V18" s="46" t="s">
        <v>55</v>
      </c>
      <c r="W18" s="40" t="s">
        <v>235</v>
      </c>
      <c r="X18" s="5" t="s">
        <v>25</v>
      </c>
      <c r="Y18" s="8" t="s">
        <v>262</v>
      </c>
      <c r="Z18" s="46" t="s">
        <v>52</v>
      </c>
      <c r="AA18" s="46" t="s">
        <v>53</v>
      </c>
      <c r="AB18" s="46" t="s">
        <v>54</v>
      </c>
      <c r="AC18" s="46" t="s">
        <v>55</v>
      </c>
      <c r="AD18" s="40" t="s">
        <v>235</v>
      </c>
      <c r="AE18" s="33"/>
      <c r="AF18" s="244"/>
      <c r="AG18" s="244"/>
      <c r="AH18" s="244"/>
      <c r="AI18" s="244"/>
      <c r="AJ18" s="244"/>
      <c r="AK18" s="244"/>
      <c r="AL18" s="244"/>
      <c r="AM18" s="244"/>
      <c r="AN18" s="244"/>
      <c r="AO18" s="172"/>
      <c r="AP18" s="172"/>
      <c r="AQ18" s="244"/>
      <c r="AR18" s="174"/>
      <c r="AS18" s="172"/>
      <c r="AT18" s="172"/>
      <c r="AU18" s="172"/>
      <c r="AV18" s="244"/>
      <c r="AW18" s="244"/>
      <c r="AX18" s="244"/>
      <c r="AY18" s="244"/>
      <c r="AZ18" s="244"/>
      <c r="BA18" s="244"/>
    </row>
    <row r="19" spans="2:115" x14ac:dyDescent="0.25">
      <c r="B19" s="39"/>
      <c r="C19" s="13" t="s">
        <v>5</v>
      </c>
      <c r="D19" s="13">
        <v>36</v>
      </c>
      <c r="E19" s="13">
        <v>23</v>
      </c>
      <c r="F19" s="13">
        <v>61</v>
      </c>
      <c r="G19" s="13">
        <v>50</v>
      </c>
      <c r="H19" s="167">
        <f>AVERAGE(D19:G19)</f>
        <v>42.5</v>
      </c>
      <c r="I19" s="39"/>
      <c r="J19" s="13" t="s">
        <v>5</v>
      </c>
      <c r="K19" s="13">
        <v>98</v>
      </c>
      <c r="L19" s="13">
        <v>140</v>
      </c>
      <c r="M19" s="13">
        <v>196</v>
      </c>
      <c r="N19" s="13">
        <v>195</v>
      </c>
      <c r="O19" s="167">
        <f>AVERAGE(K19:N19)</f>
        <v>157.25</v>
      </c>
      <c r="P19" s="170"/>
      <c r="Q19" s="39"/>
      <c r="R19" s="13" t="s">
        <v>5</v>
      </c>
      <c r="S19" s="258">
        <v>95</v>
      </c>
      <c r="T19" s="258">
        <v>89</v>
      </c>
      <c r="U19" s="258">
        <v>28</v>
      </c>
      <c r="V19" s="258">
        <v>54</v>
      </c>
      <c r="W19" s="167">
        <f>AVERAGE(S19:V19)</f>
        <v>66.5</v>
      </c>
      <c r="X19" s="39"/>
      <c r="Y19" s="13" t="s">
        <v>5</v>
      </c>
      <c r="Z19" s="258">
        <v>46</v>
      </c>
      <c r="AA19" s="258">
        <v>17</v>
      </c>
      <c r="AB19" s="258">
        <v>11</v>
      </c>
      <c r="AC19" s="258">
        <v>43</v>
      </c>
      <c r="AD19" s="167">
        <f>AVERAGE(Z19:AC19)</f>
        <v>29.25</v>
      </c>
      <c r="AE19" s="33"/>
      <c r="AF19" s="244"/>
      <c r="AG19" s="244"/>
      <c r="AH19" s="244"/>
      <c r="AI19" s="244"/>
      <c r="AJ19" s="244"/>
      <c r="AK19" s="244"/>
      <c r="AL19" s="244"/>
      <c r="AM19" s="244"/>
      <c r="AN19" s="244"/>
      <c r="AO19" s="244"/>
      <c r="AP19" s="244"/>
      <c r="AQ19" s="244"/>
      <c r="AR19" s="172"/>
      <c r="AS19" s="172"/>
      <c r="AT19" s="172"/>
      <c r="AU19" s="172"/>
      <c r="AV19" s="244"/>
      <c r="AW19" s="244"/>
      <c r="AX19" s="244"/>
      <c r="AY19" s="244"/>
      <c r="AZ19" s="244"/>
      <c r="BA19" s="244"/>
    </row>
    <row r="20" spans="2:115" x14ac:dyDescent="0.25">
      <c r="B20" s="52" t="s">
        <v>63</v>
      </c>
      <c r="C20" s="15" t="s">
        <v>6</v>
      </c>
      <c r="D20" s="15">
        <v>18</v>
      </c>
      <c r="E20" s="15">
        <v>33</v>
      </c>
      <c r="F20" s="15">
        <v>33</v>
      </c>
      <c r="G20" s="15">
        <v>39</v>
      </c>
      <c r="H20" s="37">
        <f>AVERAGE(D20:G20)</f>
        <v>30.75</v>
      </c>
      <c r="I20" s="52" t="s">
        <v>64</v>
      </c>
      <c r="J20" s="15" t="s">
        <v>6</v>
      </c>
      <c r="K20" s="15">
        <v>159</v>
      </c>
      <c r="L20" s="15">
        <v>150</v>
      </c>
      <c r="M20" s="15">
        <v>192</v>
      </c>
      <c r="N20" s="15">
        <v>199</v>
      </c>
      <c r="O20" s="35">
        <f>AVERAGE(K20:N20)</f>
        <v>175</v>
      </c>
      <c r="P20" s="170"/>
      <c r="Q20" s="52" t="s">
        <v>65</v>
      </c>
      <c r="R20" s="15" t="s">
        <v>6</v>
      </c>
      <c r="S20" s="258">
        <v>26</v>
      </c>
      <c r="T20" s="258">
        <v>47</v>
      </c>
      <c r="U20" s="258">
        <v>25</v>
      </c>
      <c r="V20" s="258">
        <v>25</v>
      </c>
      <c r="W20" s="37">
        <f>AVERAGE(S20:V20)</f>
        <v>30.75</v>
      </c>
      <c r="X20" s="52" t="s">
        <v>64</v>
      </c>
      <c r="Y20" s="15" t="s">
        <v>6</v>
      </c>
      <c r="Z20" s="258">
        <v>100</v>
      </c>
      <c r="AA20" s="258">
        <v>77</v>
      </c>
      <c r="AB20" s="258">
        <v>63</v>
      </c>
      <c r="AC20" s="258">
        <v>75</v>
      </c>
      <c r="AD20" s="37">
        <f>AVERAGE(Z20:AC20)</f>
        <v>78.75</v>
      </c>
      <c r="AE20" s="33"/>
      <c r="AF20" s="244"/>
      <c r="AG20" s="244"/>
      <c r="AH20" s="244"/>
      <c r="AI20" s="244"/>
      <c r="AJ20" s="244"/>
      <c r="AK20" s="244"/>
      <c r="AL20" s="244"/>
      <c r="AM20" s="244"/>
      <c r="AN20" s="244"/>
      <c r="AO20" s="172"/>
      <c r="AP20" s="172"/>
      <c r="AQ20" s="244"/>
      <c r="AR20" s="244"/>
      <c r="AS20" s="244"/>
      <c r="AT20" s="244"/>
      <c r="AU20" s="244"/>
      <c r="AV20" s="244"/>
      <c r="AW20" s="244"/>
      <c r="AX20" s="244"/>
      <c r="AY20" s="244"/>
      <c r="AZ20" s="244"/>
      <c r="BA20" s="244"/>
    </row>
    <row r="21" spans="2:115" x14ac:dyDescent="0.25">
      <c r="B21" s="36"/>
      <c r="C21" s="15" t="s">
        <v>7</v>
      </c>
      <c r="D21" s="15">
        <v>68</v>
      </c>
      <c r="E21" s="15">
        <v>63</v>
      </c>
      <c r="F21" s="15">
        <v>67</v>
      </c>
      <c r="G21" s="15">
        <v>26</v>
      </c>
      <c r="H21" s="37">
        <f>AVERAGE(D21:G21)</f>
        <v>56</v>
      </c>
      <c r="I21" s="36"/>
      <c r="J21" s="15" t="s">
        <v>7</v>
      </c>
      <c r="K21" s="15">
        <v>145</v>
      </c>
      <c r="L21" s="15">
        <v>114</v>
      </c>
      <c r="M21" s="15">
        <v>127</v>
      </c>
      <c r="N21" s="15">
        <v>79</v>
      </c>
      <c r="O21" s="35">
        <f>AVERAGE(K21:N21)</f>
        <v>116.25</v>
      </c>
      <c r="P21" s="170"/>
      <c r="Q21" s="36"/>
      <c r="R21" s="15" t="s">
        <v>7</v>
      </c>
      <c r="S21" s="258">
        <v>45</v>
      </c>
      <c r="T21" s="258">
        <v>36</v>
      </c>
      <c r="U21" s="258">
        <v>46</v>
      </c>
      <c r="V21" s="258">
        <v>56</v>
      </c>
      <c r="W21" s="37">
        <f>AVERAGE(S21:V21)</f>
        <v>45.75</v>
      </c>
      <c r="X21" s="36"/>
      <c r="Y21" s="15" t="s">
        <v>7</v>
      </c>
      <c r="Z21" s="258">
        <v>30</v>
      </c>
      <c r="AA21" s="258">
        <v>89</v>
      </c>
      <c r="AB21" s="258">
        <v>46</v>
      </c>
      <c r="AC21" s="258">
        <v>39</v>
      </c>
      <c r="AD21" s="37">
        <f>AVERAGE(Z21:AC21)</f>
        <v>51</v>
      </c>
      <c r="AE21" s="33"/>
      <c r="AF21" s="244"/>
      <c r="AG21" s="244"/>
      <c r="AH21" s="244"/>
      <c r="AI21" s="244"/>
      <c r="AJ21" s="244"/>
      <c r="AK21" s="244"/>
      <c r="AL21" s="244"/>
      <c r="AM21" s="244"/>
      <c r="AN21" s="244"/>
      <c r="AO21" s="244"/>
      <c r="AP21" s="244"/>
      <c r="AQ21" s="244"/>
      <c r="AR21" s="244"/>
      <c r="AS21" s="244"/>
      <c r="AT21" s="244"/>
      <c r="AU21" s="244"/>
      <c r="AV21" s="244"/>
      <c r="AW21" s="244"/>
      <c r="AX21" s="244"/>
      <c r="AY21" s="244"/>
      <c r="AZ21" s="244"/>
      <c r="BA21" s="244"/>
    </row>
    <row r="22" spans="2:115" x14ac:dyDescent="0.25">
      <c r="B22" s="36"/>
      <c r="C22" s="15" t="s">
        <v>8</v>
      </c>
      <c r="D22" s="15">
        <v>27</v>
      </c>
      <c r="E22" s="15">
        <v>30</v>
      </c>
      <c r="F22" s="15">
        <v>53</v>
      </c>
      <c r="G22" s="15">
        <v>38</v>
      </c>
      <c r="H22" s="37">
        <f>AVERAGE(D22:G22)</f>
        <v>37</v>
      </c>
      <c r="I22" s="36"/>
      <c r="J22" s="15" t="s">
        <v>8</v>
      </c>
      <c r="K22" s="15">
        <v>174</v>
      </c>
      <c r="L22" s="15">
        <v>147</v>
      </c>
      <c r="M22" s="15">
        <v>120</v>
      </c>
      <c r="N22" s="15">
        <v>130</v>
      </c>
      <c r="O22" s="35">
        <f>AVERAGE(K22:N22)</f>
        <v>142.75</v>
      </c>
      <c r="P22" s="170"/>
      <c r="Q22" s="36"/>
      <c r="R22" s="15" t="s">
        <v>8</v>
      </c>
      <c r="S22" s="258">
        <v>31</v>
      </c>
      <c r="T22" s="258">
        <v>28</v>
      </c>
      <c r="U22" s="258">
        <v>49</v>
      </c>
      <c r="V22" s="258">
        <v>38</v>
      </c>
      <c r="W22" s="37">
        <f>AVERAGE(S22:V22)</f>
        <v>36.5</v>
      </c>
      <c r="X22" s="36"/>
      <c r="Y22" s="15" t="s">
        <v>8</v>
      </c>
      <c r="Z22" s="258">
        <v>36</v>
      </c>
      <c r="AA22" s="258">
        <v>20</v>
      </c>
      <c r="AB22" s="258">
        <v>32</v>
      </c>
      <c r="AC22" s="258">
        <v>29</v>
      </c>
      <c r="AD22" s="37">
        <f>AVERAGE(Z22:AC22)</f>
        <v>29.25</v>
      </c>
      <c r="AE22" s="33"/>
      <c r="AF22" s="244"/>
      <c r="AG22" s="244"/>
      <c r="AH22" s="244"/>
      <c r="AI22" s="244"/>
      <c r="AJ22" s="244"/>
      <c r="AK22" s="244"/>
      <c r="AL22" s="244"/>
      <c r="AM22" s="244"/>
      <c r="AN22" s="244"/>
      <c r="AO22" s="244"/>
      <c r="AP22" s="244"/>
      <c r="AQ22" s="244"/>
      <c r="AR22" s="244"/>
      <c r="AS22" s="244"/>
      <c r="AT22" s="244"/>
      <c r="AU22" s="244"/>
      <c r="AV22" s="244"/>
      <c r="AW22" s="244"/>
      <c r="AX22" s="244"/>
      <c r="AY22" s="244"/>
      <c r="AZ22" s="244"/>
      <c r="BA22" s="244"/>
    </row>
    <row r="23" spans="2:115" x14ac:dyDescent="0.25">
      <c r="B23" s="36"/>
      <c r="C23" s="15"/>
      <c r="D23" s="15"/>
      <c r="E23" s="15"/>
      <c r="F23" s="15"/>
      <c r="G23" s="16" t="s">
        <v>56</v>
      </c>
      <c r="H23" s="17">
        <f>AVERAGE(H19:H22)</f>
        <v>41.5625</v>
      </c>
      <c r="I23" s="36"/>
      <c r="J23" s="15"/>
      <c r="K23" s="15"/>
      <c r="L23" s="15"/>
      <c r="M23" s="15"/>
      <c r="N23" s="16" t="s">
        <v>56</v>
      </c>
      <c r="O23" s="17">
        <f>AVERAGE(O19:O22)</f>
        <v>147.8125</v>
      </c>
      <c r="P23" s="48"/>
      <c r="Q23" s="36"/>
      <c r="R23" s="15"/>
      <c r="S23" s="15"/>
      <c r="T23" s="15"/>
      <c r="U23" s="15"/>
      <c r="V23" s="16" t="s">
        <v>56</v>
      </c>
      <c r="W23" s="17">
        <f>AVERAGE(W19:W22)</f>
        <v>44.875</v>
      </c>
      <c r="X23" s="36"/>
      <c r="Y23" s="15"/>
      <c r="Z23" s="15"/>
      <c r="AA23" s="15"/>
      <c r="AB23" s="15"/>
      <c r="AC23" s="16" t="s">
        <v>56</v>
      </c>
      <c r="AD23" s="17">
        <f>AVERAGE(AD19:AD22)</f>
        <v>47.0625</v>
      </c>
      <c r="AE23" s="33"/>
      <c r="AF23" s="244"/>
      <c r="AG23" s="244"/>
      <c r="AH23" s="244"/>
      <c r="AI23" s="244"/>
      <c r="AJ23" s="244"/>
      <c r="AK23" s="244"/>
      <c r="AL23" s="244"/>
      <c r="AM23" s="244"/>
      <c r="AN23" s="244"/>
      <c r="AO23" s="172"/>
      <c r="AP23" s="172"/>
      <c r="AQ23" s="244"/>
      <c r="AR23" s="244"/>
      <c r="AS23" s="244"/>
      <c r="AT23" s="244"/>
      <c r="AU23" s="244"/>
      <c r="AV23" s="244"/>
      <c r="AW23" s="244"/>
      <c r="AX23" s="244"/>
      <c r="AY23" s="244"/>
      <c r="AZ23" s="244"/>
      <c r="BA23" s="244"/>
    </row>
    <row r="24" spans="2:115" x14ac:dyDescent="0.25">
      <c r="B24" s="36"/>
      <c r="C24" s="15"/>
      <c r="D24" s="15"/>
      <c r="E24" s="15"/>
      <c r="F24" s="15"/>
      <c r="G24" s="16" t="s">
        <v>22</v>
      </c>
      <c r="H24" s="17">
        <f>_xlfn.STDEV.S(H19:H22)</f>
        <v>10.755570262271856</v>
      </c>
      <c r="I24" s="36"/>
      <c r="J24" s="15"/>
      <c r="K24" s="15"/>
      <c r="L24" s="15"/>
      <c r="M24" s="15"/>
      <c r="N24" s="16" t="s">
        <v>22</v>
      </c>
      <c r="O24" s="17">
        <f>_xlfn.STDEV.S(O19:O22)</f>
        <v>24.833088645326956</v>
      </c>
      <c r="P24" s="48"/>
      <c r="Q24" s="36"/>
      <c r="R24" s="15"/>
      <c r="S24" s="15"/>
      <c r="T24" s="15"/>
      <c r="U24" s="15"/>
      <c r="V24" s="16" t="s">
        <v>22</v>
      </c>
      <c r="W24" s="17">
        <f>_xlfn.STDEV.S(W19:W22)</f>
        <v>15.685051269706879</v>
      </c>
      <c r="X24" s="36"/>
      <c r="Y24" s="15"/>
      <c r="Z24" s="15"/>
      <c r="AA24" s="15"/>
      <c r="AB24" s="15"/>
      <c r="AC24" s="16" t="s">
        <v>22</v>
      </c>
      <c r="AD24" s="17">
        <f>_xlfn.STDEV.S(AD19:AD22)</f>
        <v>23.481708306679902</v>
      </c>
      <c r="AE24" s="33"/>
      <c r="AF24" s="244"/>
      <c r="AG24" s="244"/>
      <c r="AH24" s="244"/>
      <c r="AI24" s="244"/>
      <c r="AJ24" s="244"/>
      <c r="AK24" s="244"/>
      <c r="AL24" s="244"/>
      <c r="AM24" s="244"/>
      <c r="AN24" s="244"/>
      <c r="AO24" s="172"/>
      <c r="AP24" s="172"/>
      <c r="AQ24" s="244"/>
      <c r="AR24" s="244"/>
      <c r="AS24" s="244"/>
      <c r="AT24" s="244"/>
      <c r="AU24" s="244"/>
      <c r="AV24" s="244"/>
      <c r="AW24" s="244"/>
      <c r="AX24" s="244"/>
      <c r="AY24" s="244"/>
      <c r="AZ24" s="244"/>
      <c r="BA24" s="244"/>
    </row>
    <row r="25" spans="2:115" ht="15" customHeight="1" x14ac:dyDescent="0.25">
      <c r="B25" s="4" t="s">
        <v>4</v>
      </c>
      <c r="C25" s="5" t="s">
        <v>262</v>
      </c>
      <c r="D25" s="46" t="s">
        <v>52</v>
      </c>
      <c r="E25" s="46" t="s">
        <v>53</v>
      </c>
      <c r="F25" s="46" t="s">
        <v>54</v>
      </c>
      <c r="G25" s="46" t="s">
        <v>55</v>
      </c>
      <c r="H25" s="5" t="s">
        <v>235</v>
      </c>
      <c r="I25" s="4" t="s">
        <v>4</v>
      </c>
      <c r="J25" s="5" t="s">
        <v>262</v>
      </c>
      <c r="K25" s="46" t="s">
        <v>52</v>
      </c>
      <c r="L25" s="46" t="s">
        <v>53</v>
      </c>
      <c r="M25" s="46" t="s">
        <v>54</v>
      </c>
      <c r="N25" s="46" t="s">
        <v>55</v>
      </c>
      <c r="O25" s="40" t="s">
        <v>235</v>
      </c>
      <c r="P25" s="48"/>
      <c r="Q25" s="4" t="s">
        <v>25</v>
      </c>
      <c r="R25" s="8" t="s">
        <v>262</v>
      </c>
      <c r="S25" s="46" t="s">
        <v>52</v>
      </c>
      <c r="T25" s="46" t="s">
        <v>53</v>
      </c>
      <c r="U25" s="46" t="s">
        <v>54</v>
      </c>
      <c r="V25" s="46" t="s">
        <v>55</v>
      </c>
      <c r="W25" s="40" t="s">
        <v>235</v>
      </c>
      <c r="X25" s="4" t="s">
        <v>25</v>
      </c>
      <c r="Y25" s="8" t="s">
        <v>262</v>
      </c>
      <c r="Z25" s="46" t="s">
        <v>52</v>
      </c>
      <c r="AA25" s="46" t="s">
        <v>53</v>
      </c>
      <c r="AB25" s="46" t="s">
        <v>54</v>
      </c>
      <c r="AC25" s="46" t="s">
        <v>55</v>
      </c>
      <c r="AD25" s="40" t="s">
        <v>235</v>
      </c>
      <c r="AE25" s="21"/>
      <c r="AF25" s="244"/>
      <c r="AG25" s="244"/>
      <c r="AH25" s="244"/>
      <c r="AI25" s="244"/>
      <c r="AJ25" s="244"/>
      <c r="AK25" s="244"/>
      <c r="AL25" s="244"/>
      <c r="AM25" s="244"/>
      <c r="AN25" s="244"/>
      <c r="AO25" s="172"/>
      <c r="AP25" s="172"/>
      <c r="AQ25" s="244"/>
      <c r="AR25" s="244"/>
      <c r="AS25" s="244"/>
      <c r="AT25" s="244"/>
      <c r="AU25" s="244"/>
      <c r="AV25" s="244"/>
      <c r="AW25" s="244"/>
      <c r="AX25" s="244"/>
      <c r="AY25" s="244"/>
      <c r="AZ25" s="244"/>
      <c r="BA25" s="244"/>
    </row>
    <row r="26" spans="2:115" x14ac:dyDescent="0.25">
      <c r="B26" s="39"/>
      <c r="C26" s="13" t="s">
        <v>5</v>
      </c>
      <c r="D26" s="13">
        <v>67</v>
      </c>
      <c r="E26" s="13">
        <v>38</v>
      </c>
      <c r="F26" s="13">
        <v>36</v>
      </c>
      <c r="G26" s="13">
        <v>35</v>
      </c>
      <c r="H26" s="167">
        <f>AVERAGE(D26:G26)</f>
        <v>44</v>
      </c>
      <c r="I26" s="39"/>
      <c r="J26" s="13" t="s">
        <v>5</v>
      </c>
      <c r="K26" s="13">
        <v>84</v>
      </c>
      <c r="L26" s="13">
        <v>56</v>
      </c>
      <c r="M26" s="13">
        <v>16</v>
      </c>
      <c r="N26" s="13">
        <v>32</v>
      </c>
      <c r="O26" s="167">
        <f>AVERAGE(K26:N26)</f>
        <v>47</v>
      </c>
      <c r="P26" s="170"/>
      <c r="Q26" s="39"/>
      <c r="R26" s="13" t="s">
        <v>5</v>
      </c>
      <c r="S26" s="258">
        <v>53</v>
      </c>
      <c r="T26" s="258">
        <v>41</v>
      </c>
      <c r="U26" s="258">
        <v>34</v>
      </c>
      <c r="V26" s="258">
        <v>69</v>
      </c>
      <c r="W26" s="167">
        <f>AVERAGE(S26:V26)</f>
        <v>49.25</v>
      </c>
      <c r="X26" s="39"/>
      <c r="Y26" s="13" t="s">
        <v>5</v>
      </c>
      <c r="Z26" s="258">
        <v>50</v>
      </c>
      <c r="AA26" s="258">
        <v>33</v>
      </c>
      <c r="AB26" s="258">
        <v>79</v>
      </c>
      <c r="AC26" s="258">
        <v>69</v>
      </c>
      <c r="AD26" s="167">
        <f>AVERAGE(Z26:AC26)</f>
        <v>57.75</v>
      </c>
      <c r="AE26" s="21"/>
      <c r="AF26" s="244"/>
      <c r="AG26" s="244"/>
      <c r="AH26" s="244"/>
      <c r="AI26" s="244"/>
      <c r="AJ26" s="244"/>
      <c r="AK26" s="244"/>
      <c r="AL26" s="244"/>
      <c r="AM26" s="244"/>
      <c r="AN26" s="244"/>
      <c r="AO26" s="172"/>
      <c r="AP26" s="172"/>
      <c r="AQ26" s="244"/>
      <c r="AR26" s="244"/>
      <c r="AS26" s="244"/>
      <c r="AT26" s="244"/>
      <c r="AU26" s="244"/>
      <c r="AV26" s="244"/>
      <c r="AW26" s="244"/>
      <c r="AX26" s="244"/>
      <c r="AY26" s="244"/>
      <c r="AZ26" s="244"/>
      <c r="BA26" s="244"/>
    </row>
    <row r="27" spans="2:115" x14ac:dyDescent="0.25">
      <c r="B27" s="52" t="s">
        <v>66</v>
      </c>
      <c r="C27" s="15" t="s">
        <v>6</v>
      </c>
      <c r="D27" s="15">
        <v>41</v>
      </c>
      <c r="E27" s="15">
        <v>64</v>
      </c>
      <c r="F27" s="15">
        <v>39</v>
      </c>
      <c r="G27" s="15">
        <v>37</v>
      </c>
      <c r="H27" s="37">
        <f>AVERAGE(D27:G27)</f>
        <v>45.25</v>
      </c>
      <c r="I27" s="52" t="s">
        <v>67</v>
      </c>
      <c r="J27" s="15" t="s">
        <v>6</v>
      </c>
      <c r="K27" s="15">
        <v>102</v>
      </c>
      <c r="L27" s="15">
        <v>76</v>
      </c>
      <c r="M27" s="15">
        <v>35</v>
      </c>
      <c r="N27" s="15">
        <v>50</v>
      </c>
      <c r="O27" s="37">
        <f>AVERAGE(K27:N27)</f>
        <v>65.75</v>
      </c>
      <c r="P27" s="170"/>
      <c r="Q27" s="52" t="s">
        <v>63</v>
      </c>
      <c r="R27" s="15" t="s">
        <v>6</v>
      </c>
      <c r="S27" s="258">
        <v>44</v>
      </c>
      <c r="T27" s="258">
        <v>19</v>
      </c>
      <c r="U27" s="258">
        <v>36</v>
      </c>
      <c r="V27" s="258">
        <v>48</v>
      </c>
      <c r="W27" s="37">
        <f>AVERAGE(S27:V27)</f>
        <v>36.75</v>
      </c>
      <c r="X27" s="52" t="s">
        <v>67</v>
      </c>
      <c r="Y27" s="15" t="s">
        <v>6</v>
      </c>
      <c r="Z27" s="258">
        <v>38</v>
      </c>
      <c r="AA27" s="258">
        <v>25</v>
      </c>
      <c r="AB27" s="258">
        <v>14</v>
      </c>
      <c r="AC27" s="258">
        <v>22</v>
      </c>
      <c r="AD27" s="37">
        <f>AVERAGE(Z27:AC27)</f>
        <v>24.75</v>
      </c>
      <c r="AE27" s="33"/>
      <c r="AF27" s="244"/>
      <c r="AG27" s="244"/>
      <c r="AH27" s="244"/>
      <c r="AI27" s="244"/>
      <c r="AJ27" s="244"/>
      <c r="AK27" s="244"/>
      <c r="AL27" s="244"/>
      <c r="AM27" s="244"/>
      <c r="AN27" s="244"/>
      <c r="AO27" s="172"/>
      <c r="AP27" s="172"/>
      <c r="AQ27" s="244"/>
      <c r="AR27" s="244"/>
      <c r="AS27" s="244"/>
      <c r="AT27" s="244"/>
      <c r="AU27" s="244"/>
      <c r="AV27" s="244"/>
      <c r="AW27" s="244"/>
      <c r="AX27" s="244"/>
      <c r="AY27" s="244"/>
      <c r="AZ27" s="244"/>
      <c r="BA27" s="244"/>
    </row>
    <row r="28" spans="2:115" x14ac:dyDescent="0.25">
      <c r="B28" s="36"/>
      <c r="C28" s="15" t="s">
        <v>7</v>
      </c>
      <c r="D28" s="15">
        <v>58</v>
      </c>
      <c r="E28" s="15">
        <v>44</v>
      </c>
      <c r="F28" s="15">
        <v>34</v>
      </c>
      <c r="G28" s="15">
        <v>121</v>
      </c>
      <c r="H28" s="37">
        <f>AVERAGE(D28:G28)</f>
        <v>64.25</v>
      </c>
      <c r="I28" s="36"/>
      <c r="J28" s="15" t="s">
        <v>7</v>
      </c>
      <c r="K28" s="15">
        <v>64</v>
      </c>
      <c r="L28" s="15">
        <v>72</v>
      </c>
      <c r="M28" s="15">
        <v>51</v>
      </c>
      <c r="N28" s="15">
        <v>57</v>
      </c>
      <c r="O28" s="37">
        <f>AVERAGE(K28:N28)</f>
        <v>61</v>
      </c>
      <c r="P28" s="170"/>
      <c r="Q28" s="36"/>
      <c r="R28" s="15" t="s">
        <v>7</v>
      </c>
      <c r="S28" s="258">
        <v>13</v>
      </c>
      <c r="T28" s="258">
        <v>33</v>
      </c>
      <c r="U28" s="258">
        <v>98</v>
      </c>
      <c r="V28" s="258">
        <v>52</v>
      </c>
      <c r="W28" s="37">
        <f>AVERAGE(S28:V28)</f>
        <v>49</v>
      </c>
      <c r="X28" s="36"/>
      <c r="Y28" s="15" t="s">
        <v>7</v>
      </c>
      <c r="Z28" s="258">
        <v>80</v>
      </c>
      <c r="AA28" s="258">
        <v>47</v>
      </c>
      <c r="AB28" s="258">
        <v>166</v>
      </c>
      <c r="AC28" s="258">
        <v>21</v>
      </c>
      <c r="AD28" s="37">
        <f>AVERAGE(Z28:AC28)</f>
        <v>78.5</v>
      </c>
      <c r="AE28" s="33"/>
      <c r="AF28" s="244"/>
      <c r="AG28" s="244"/>
      <c r="AH28" s="244"/>
      <c r="AI28" s="244"/>
      <c r="AJ28" s="244"/>
      <c r="AK28" s="244"/>
      <c r="AL28" s="244"/>
      <c r="AM28" s="244"/>
      <c r="AN28" s="244"/>
      <c r="AO28" s="60"/>
      <c r="AP28" s="60"/>
      <c r="AQ28" s="244"/>
      <c r="AR28" s="244"/>
      <c r="AS28" s="244"/>
      <c r="AT28" s="244"/>
      <c r="AU28" s="244"/>
      <c r="AV28" s="244"/>
      <c r="AW28" s="244"/>
      <c r="AX28" s="244"/>
      <c r="AY28" s="244"/>
      <c r="AZ28" s="244"/>
      <c r="BA28" s="244"/>
      <c r="BK28" s="191"/>
      <c r="CF28" s="191"/>
      <c r="CT28" s="191"/>
      <c r="DK28" s="191"/>
    </row>
    <row r="29" spans="2:115" x14ac:dyDescent="0.25">
      <c r="B29" s="36"/>
      <c r="C29" s="15" t="s">
        <v>8</v>
      </c>
      <c r="D29" s="15">
        <v>15</v>
      </c>
      <c r="E29" s="15">
        <v>61</v>
      </c>
      <c r="F29" s="15">
        <v>31</v>
      </c>
      <c r="G29" s="15">
        <v>54</v>
      </c>
      <c r="H29" s="37">
        <f>AVERAGE(D29:G29)</f>
        <v>40.25</v>
      </c>
      <c r="I29" s="36"/>
      <c r="J29" s="15" t="s">
        <v>8</v>
      </c>
      <c r="K29" s="15">
        <v>71</v>
      </c>
      <c r="L29" s="15">
        <v>46</v>
      </c>
      <c r="M29" s="15">
        <v>56</v>
      </c>
      <c r="N29" s="15">
        <v>53</v>
      </c>
      <c r="O29" s="37">
        <f>AVERAGE(K29:N29)</f>
        <v>56.5</v>
      </c>
      <c r="P29" s="170"/>
      <c r="Q29" s="36"/>
      <c r="R29" s="15" t="s">
        <v>8</v>
      </c>
      <c r="S29" s="258">
        <v>53</v>
      </c>
      <c r="T29" s="258">
        <v>32</v>
      </c>
      <c r="U29" s="258">
        <v>29</v>
      </c>
      <c r="V29" s="258">
        <v>35</v>
      </c>
      <c r="W29" s="37">
        <f>AVERAGE(S29:V29)</f>
        <v>37.25</v>
      </c>
      <c r="X29" s="36"/>
      <c r="Y29" s="15" t="s">
        <v>8</v>
      </c>
      <c r="Z29" s="258">
        <v>19</v>
      </c>
      <c r="AA29" s="258">
        <v>29</v>
      </c>
      <c r="AB29" s="258">
        <v>14</v>
      </c>
      <c r="AC29" s="258">
        <v>17</v>
      </c>
      <c r="AD29" s="37">
        <f>AVERAGE(Z29:AC29)</f>
        <v>19.75</v>
      </c>
      <c r="AE29" s="33"/>
      <c r="AF29" s="244"/>
      <c r="AG29" s="244"/>
      <c r="AH29" s="244"/>
      <c r="AI29" s="244"/>
      <c r="AJ29" s="244"/>
      <c r="AK29" s="244"/>
      <c r="AL29" s="244"/>
      <c r="AM29" s="244"/>
      <c r="AN29" s="244"/>
      <c r="AO29" s="244"/>
      <c r="AP29" s="244"/>
      <c r="AQ29" s="244"/>
      <c r="AR29" s="244"/>
      <c r="AS29" s="244"/>
      <c r="AT29" s="244"/>
      <c r="AU29" s="244"/>
      <c r="AV29" s="244"/>
      <c r="AW29" s="244"/>
      <c r="AX29" s="244"/>
      <c r="AY29" s="244"/>
      <c r="AZ29" s="244"/>
      <c r="BA29" s="244"/>
    </row>
    <row r="30" spans="2:115" x14ac:dyDescent="0.25">
      <c r="B30" s="36"/>
      <c r="C30" s="15"/>
      <c r="D30" s="15"/>
      <c r="E30" s="15"/>
      <c r="F30" s="15"/>
      <c r="G30" s="16" t="s">
        <v>56</v>
      </c>
      <c r="H30" s="17">
        <f>AVERAGE(H26:H29)</f>
        <v>48.4375</v>
      </c>
      <c r="I30" s="36"/>
      <c r="J30" s="15"/>
      <c r="K30" s="15"/>
      <c r="L30" s="15"/>
      <c r="M30" s="15"/>
      <c r="N30" s="16" t="s">
        <v>56</v>
      </c>
      <c r="O30" s="17">
        <f>AVERAGE(O26:O29)</f>
        <v>57.5625</v>
      </c>
      <c r="P30" s="48"/>
      <c r="Q30" s="36"/>
      <c r="R30" s="15"/>
      <c r="S30" s="15"/>
      <c r="T30" s="15"/>
      <c r="U30" s="15"/>
      <c r="V30" s="16" t="s">
        <v>56</v>
      </c>
      <c r="W30" s="17">
        <f>AVERAGE(W26:W29)</f>
        <v>43.0625</v>
      </c>
      <c r="X30" s="36"/>
      <c r="Y30" s="15"/>
      <c r="Z30" s="15"/>
      <c r="AA30" s="15"/>
      <c r="AB30" s="15"/>
      <c r="AC30" s="16" t="s">
        <v>56</v>
      </c>
      <c r="AD30" s="17">
        <f>AVERAGE(AD26:AD29)</f>
        <v>45.1875</v>
      </c>
      <c r="AE30" s="33"/>
      <c r="AF30" s="244"/>
      <c r="AG30" s="244"/>
      <c r="AH30" s="244"/>
      <c r="AI30" s="244"/>
      <c r="AJ30" s="244"/>
      <c r="AK30" s="244"/>
      <c r="AL30" s="244"/>
      <c r="AM30" s="244"/>
      <c r="AN30" s="244"/>
      <c r="AO30" s="244"/>
      <c r="AP30" s="244"/>
      <c r="AQ30" s="244"/>
      <c r="AR30" s="244"/>
      <c r="AS30" s="244"/>
      <c r="AT30" s="244"/>
      <c r="AU30" s="244"/>
      <c r="AV30" s="244"/>
      <c r="AW30" s="244"/>
      <c r="AX30" s="244"/>
      <c r="AY30" s="244"/>
      <c r="AZ30" s="244"/>
      <c r="BA30" s="244"/>
    </row>
    <row r="31" spans="2:115" x14ac:dyDescent="0.25">
      <c r="B31" s="36"/>
      <c r="C31" s="15"/>
      <c r="D31" s="15"/>
      <c r="E31" s="15"/>
      <c r="F31" s="15"/>
      <c r="G31" s="16" t="s">
        <v>22</v>
      </c>
      <c r="H31" s="17">
        <f>_xlfn.STDEV.S(H26:H29)</f>
        <v>10.753633107001558</v>
      </c>
      <c r="I31" s="36"/>
      <c r="J31" s="15"/>
      <c r="K31" s="15"/>
      <c r="L31" s="15"/>
      <c r="M31" s="15"/>
      <c r="N31" s="16" t="s">
        <v>22</v>
      </c>
      <c r="O31" s="17">
        <f>_xlfn.STDEV.S(O26:O29)</f>
        <v>7.9905543195283606</v>
      </c>
      <c r="P31" s="48"/>
      <c r="Q31" s="36"/>
      <c r="R31" s="15"/>
      <c r="S31" s="15"/>
      <c r="T31" s="15"/>
      <c r="U31" s="15"/>
      <c r="V31" s="16" t="s">
        <v>22</v>
      </c>
      <c r="W31" s="17">
        <f>_xlfn.STDEV.S(W26:W29)</f>
        <v>7.0040910664173026</v>
      </c>
      <c r="X31" s="36"/>
      <c r="Y31" s="15"/>
      <c r="Z31" s="15"/>
      <c r="AA31" s="15"/>
      <c r="AB31" s="15"/>
      <c r="AC31" s="16" t="s">
        <v>22</v>
      </c>
      <c r="AD31" s="17">
        <f>_xlfn.STDEV.S(AD26:AD29)</f>
        <v>27.882472839880371</v>
      </c>
      <c r="AE31" s="33"/>
      <c r="AF31" s="244"/>
      <c r="AG31" s="244"/>
      <c r="AH31" s="244"/>
      <c r="AI31" s="244"/>
      <c r="AJ31" s="244"/>
      <c r="AK31" s="244"/>
      <c r="AL31" s="244"/>
      <c r="AM31" s="244"/>
      <c r="AN31" s="244"/>
      <c r="AO31" s="244"/>
      <c r="AP31" s="244"/>
      <c r="AQ31" s="244"/>
      <c r="AR31" s="244"/>
      <c r="AS31" s="244"/>
      <c r="AT31" s="244"/>
      <c r="AU31" s="244"/>
      <c r="AV31" s="244"/>
      <c r="AW31" s="244"/>
      <c r="AX31" s="244"/>
      <c r="AY31" s="244"/>
      <c r="AZ31" s="244"/>
      <c r="BA31" s="244"/>
      <c r="BK31" s="195"/>
      <c r="BL31" s="195"/>
      <c r="BM31" s="195"/>
      <c r="BN31" s="195"/>
      <c r="BO31" s="195"/>
      <c r="BP31" s="195"/>
      <c r="BQ31" s="195"/>
      <c r="BR31" s="195"/>
      <c r="BS31" s="195"/>
      <c r="BT31" s="195"/>
      <c r="BU31" s="195"/>
      <c r="CF31" s="195"/>
      <c r="CG31" s="195"/>
      <c r="CT31" s="195"/>
      <c r="DK31" s="195"/>
    </row>
    <row r="32" spans="2:115" x14ac:dyDescent="0.25">
      <c r="B32" s="4" t="s">
        <v>4</v>
      </c>
      <c r="C32" s="5" t="s">
        <v>262</v>
      </c>
      <c r="D32" s="46" t="s">
        <v>52</v>
      </c>
      <c r="E32" s="46" t="s">
        <v>53</v>
      </c>
      <c r="F32" s="46" t="s">
        <v>54</v>
      </c>
      <c r="G32" s="46" t="s">
        <v>55</v>
      </c>
      <c r="H32" s="5" t="s">
        <v>235</v>
      </c>
      <c r="I32" s="4" t="s">
        <v>4</v>
      </c>
      <c r="J32" s="5" t="s">
        <v>262</v>
      </c>
      <c r="K32" s="46" t="s">
        <v>52</v>
      </c>
      <c r="L32" s="46" t="s">
        <v>53</v>
      </c>
      <c r="M32" s="46" t="s">
        <v>54</v>
      </c>
      <c r="N32" s="46" t="s">
        <v>55</v>
      </c>
      <c r="O32" s="40" t="s">
        <v>235</v>
      </c>
      <c r="P32" s="48"/>
      <c r="Q32" s="4" t="s">
        <v>25</v>
      </c>
      <c r="R32" s="8" t="s">
        <v>262</v>
      </c>
      <c r="S32" s="46" t="s">
        <v>52</v>
      </c>
      <c r="T32" s="46" t="s">
        <v>53</v>
      </c>
      <c r="U32" s="46" t="s">
        <v>54</v>
      </c>
      <c r="V32" s="46" t="s">
        <v>55</v>
      </c>
      <c r="W32" s="40" t="s">
        <v>235</v>
      </c>
      <c r="X32" s="4" t="s">
        <v>25</v>
      </c>
      <c r="Y32" s="8" t="s">
        <v>262</v>
      </c>
      <c r="Z32" s="46" t="s">
        <v>52</v>
      </c>
      <c r="AA32" s="46" t="s">
        <v>53</v>
      </c>
      <c r="AB32" s="46" t="s">
        <v>54</v>
      </c>
      <c r="AC32" s="46" t="s">
        <v>55</v>
      </c>
      <c r="AD32" s="40" t="s">
        <v>235</v>
      </c>
      <c r="AE32" s="33"/>
      <c r="AF32" s="244"/>
      <c r="AG32" s="244"/>
      <c r="AH32" s="244"/>
      <c r="AI32" s="244"/>
      <c r="AJ32" s="244"/>
      <c r="AK32" s="244"/>
      <c r="AL32" s="244"/>
      <c r="AM32" s="244"/>
      <c r="AN32" s="244"/>
      <c r="AO32" s="244"/>
      <c r="AP32" s="244"/>
      <c r="AQ32" s="244"/>
      <c r="AR32" s="244"/>
      <c r="AS32" s="244"/>
      <c r="AT32" s="244"/>
      <c r="AU32" s="244"/>
      <c r="AV32" s="244"/>
      <c r="AW32" s="244"/>
      <c r="AX32" s="244"/>
      <c r="AY32" s="244"/>
      <c r="AZ32" s="244"/>
      <c r="BA32" s="244"/>
    </row>
    <row r="33" spans="2:141" x14ac:dyDescent="0.25">
      <c r="B33" s="39"/>
      <c r="C33" s="13" t="s">
        <v>5</v>
      </c>
      <c r="D33" s="13">
        <v>62</v>
      </c>
      <c r="E33" s="13">
        <v>102</v>
      </c>
      <c r="F33" s="13">
        <v>77</v>
      </c>
      <c r="G33" s="13">
        <v>68</v>
      </c>
      <c r="H33" s="167">
        <f>AVERAGE(D33:G33)</f>
        <v>77.25</v>
      </c>
      <c r="I33" s="39"/>
      <c r="J33" s="13" t="s">
        <v>5</v>
      </c>
      <c r="K33" s="13">
        <v>61</v>
      </c>
      <c r="L33" s="13">
        <v>68</v>
      </c>
      <c r="M33" s="13">
        <v>87</v>
      </c>
      <c r="N33" s="13">
        <v>44</v>
      </c>
      <c r="O33" s="38">
        <f>AVERAGE(K33:N33)</f>
        <v>65</v>
      </c>
      <c r="P33" s="170"/>
      <c r="Q33" s="39"/>
      <c r="R33" s="13" t="s">
        <v>5</v>
      </c>
      <c r="S33" s="258">
        <v>49</v>
      </c>
      <c r="T33" s="258">
        <v>47</v>
      </c>
      <c r="U33" s="258">
        <v>49</v>
      </c>
      <c r="V33" s="258">
        <v>30</v>
      </c>
      <c r="W33" s="167">
        <f>AVERAGE(S33:V33)</f>
        <v>43.75</v>
      </c>
      <c r="X33" s="39"/>
      <c r="Y33" s="13" t="s">
        <v>5</v>
      </c>
      <c r="Z33" s="13">
        <v>40</v>
      </c>
      <c r="AA33" s="13">
        <v>26</v>
      </c>
      <c r="AB33" s="13">
        <v>25</v>
      </c>
      <c r="AC33" s="13">
        <v>39</v>
      </c>
      <c r="AD33" s="167">
        <f>AVERAGE(Z33:AC33)</f>
        <v>32.5</v>
      </c>
      <c r="AE33" s="33"/>
    </row>
    <row r="34" spans="2:141" x14ac:dyDescent="0.25">
      <c r="B34" s="52" t="s">
        <v>68</v>
      </c>
      <c r="C34" s="15" t="s">
        <v>6</v>
      </c>
      <c r="D34" s="15">
        <v>120</v>
      </c>
      <c r="E34" s="15">
        <v>49</v>
      </c>
      <c r="F34" s="15">
        <v>80</v>
      </c>
      <c r="G34" s="15">
        <v>72</v>
      </c>
      <c r="H34" s="37">
        <f>AVERAGE(D34:G34)</f>
        <v>80.25</v>
      </c>
      <c r="I34" s="52" t="s">
        <v>69</v>
      </c>
      <c r="J34" s="15" t="s">
        <v>6</v>
      </c>
      <c r="K34" s="15">
        <v>75</v>
      </c>
      <c r="L34" s="15">
        <v>95</v>
      </c>
      <c r="M34" s="15">
        <v>67</v>
      </c>
      <c r="N34" s="15">
        <v>33</v>
      </c>
      <c r="O34" s="35">
        <f>AVERAGE(K34:N34)</f>
        <v>67.5</v>
      </c>
      <c r="P34" s="170"/>
      <c r="Q34" s="52" t="s">
        <v>66</v>
      </c>
      <c r="R34" s="15" t="s">
        <v>6</v>
      </c>
      <c r="S34" s="258">
        <v>32</v>
      </c>
      <c r="T34" s="258">
        <v>60</v>
      </c>
      <c r="U34" s="258">
        <v>88</v>
      </c>
      <c r="V34" s="258">
        <v>34</v>
      </c>
      <c r="W34" s="37">
        <f>AVERAGE(S34:V34)</f>
        <v>53.5</v>
      </c>
      <c r="X34" s="52" t="s">
        <v>69</v>
      </c>
      <c r="Y34" s="15" t="s">
        <v>6</v>
      </c>
      <c r="Z34" s="15">
        <v>31</v>
      </c>
      <c r="AA34" s="15">
        <v>46</v>
      </c>
      <c r="AB34" s="15">
        <v>23</v>
      </c>
      <c r="AC34" s="15">
        <v>33</v>
      </c>
      <c r="AD34" s="37">
        <f>AVERAGE(Z34:AC34)</f>
        <v>33.25</v>
      </c>
      <c r="AE34" s="33"/>
      <c r="DE34" s="61"/>
      <c r="DF34" s="61"/>
      <c r="EC34" s="61"/>
      <c r="ED34" s="61"/>
      <c r="EE34" s="61"/>
      <c r="EF34" s="61"/>
      <c r="EG34" s="61"/>
      <c r="EH34" s="61"/>
      <c r="EI34" s="61"/>
      <c r="EJ34" s="61"/>
      <c r="EK34" s="61"/>
    </row>
    <row r="35" spans="2:141" x14ac:dyDescent="0.25">
      <c r="B35" s="36"/>
      <c r="C35" s="15" t="s">
        <v>7</v>
      </c>
      <c r="D35" s="15">
        <v>42</v>
      </c>
      <c r="E35" s="15">
        <v>62</v>
      </c>
      <c r="F35" s="15">
        <v>12</v>
      </c>
      <c r="G35" s="15">
        <v>59</v>
      </c>
      <c r="H35" s="37">
        <f>AVERAGE(D35:G35)</f>
        <v>43.75</v>
      </c>
      <c r="I35" s="36"/>
      <c r="J35" s="15" t="s">
        <v>7</v>
      </c>
      <c r="K35" s="15">
        <v>56</v>
      </c>
      <c r="L35" s="15">
        <v>78</v>
      </c>
      <c r="M35" s="15">
        <v>78</v>
      </c>
      <c r="N35" s="15">
        <v>64</v>
      </c>
      <c r="O35" s="35">
        <f>AVERAGE(K35:N35)</f>
        <v>69</v>
      </c>
      <c r="P35" s="170"/>
      <c r="Q35" s="36"/>
      <c r="R35" s="15" t="s">
        <v>7</v>
      </c>
      <c r="S35" s="258">
        <v>41</v>
      </c>
      <c r="T35" s="258">
        <v>54</v>
      </c>
      <c r="U35" s="258">
        <v>56</v>
      </c>
      <c r="V35" s="258">
        <v>65</v>
      </c>
      <c r="W35" s="37">
        <f>AVERAGE(S35:V35)</f>
        <v>54</v>
      </c>
      <c r="X35" s="36"/>
      <c r="Y35" s="15" t="s">
        <v>7</v>
      </c>
      <c r="Z35" s="15">
        <v>52</v>
      </c>
      <c r="AA35" s="15">
        <v>37</v>
      </c>
      <c r="AB35" s="15">
        <v>33</v>
      </c>
      <c r="AC35" s="15">
        <v>42</v>
      </c>
      <c r="AD35" s="37">
        <f>AVERAGE(Z35:AC35)</f>
        <v>41</v>
      </c>
      <c r="AE35" s="33"/>
    </row>
    <row r="36" spans="2:141" x14ac:dyDescent="0.25">
      <c r="B36" s="36"/>
      <c r="C36" s="15" t="s">
        <v>8</v>
      </c>
      <c r="D36" s="15">
        <v>81</v>
      </c>
      <c r="E36" s="15">
        <v>50</v>
      </c>
      <c r="F36" s="15">
        <v>27</v>
      </c>
      <c r="G36" s="15">
        <v>74</v>
      </c>
      <c r="H36" s="37">
        <f>AVERAGE(D36:G36)</f>
        <v>58</v>
      </c>
      <c r="I36" s="36"/>
      <c r="J36" s="15" t="s">
        <v>8</v>
      </c>
      <c r="K36" s="15">
        <v>65</v>
      </c>
      <c r="L36" s="15">
        <v>95</v>
      </c>
      <c r="M36" s="15">
        <v>75</v>
      </c>
      <c r="N36" s="15">
        <v>56</v>
      </c>
      <c r="O36" s="35">
        <f>AVERAGE(K36:N36)</f>
        <v>72.75</v>
      </c>
      <c r="P36" s="170"/>
      <c r="Q36" s="36"/>
      <c r="R36" s="15" t="s">
        <v>8</v>
      </c>
      <c r="S36" s="258">
        <v>8</v>
      </c>
      <c r="T36" s="258">
        <v>43</v>
      </c>
      <c r="U36" s="258">
        <v>40</v>
      </c>
      <c r="V36" s="258">
        <v>45</v>
      </c>
      <c r="W36" s="37">
        <f>AVERAGE(S36:V36)</f>
        <v>34</v>
      </c>
      <c r="X36" s="36"/>
      <c r="Y36" s="15" t="s">
        <v>8</v>
      </c>
      <c r="Z36" s="15">
        <v>30</v>
      </c>
      <c r="AA36" s="15">
        <v>22</v>
      </c>
      <c r="AB36" s="15">
        <v>42</v>
      </c>
      <c r="AC36" s="15">
        <v>17</v>
      </c>
      <c r="AD36" s="37">
        <f>AVERAGE(Z36:AC36)</f>
        <v>27.75</v>
      </c>
      <c r="AE36" s="33"/>
    </row>
    <row r="37" spans="2:141" x14ac:dyDescent="0.25">
      <c r="B37" s="36"/>
      <c r="C37" s="15"/>
      <c r="D37" s="15"/>
      <c r="E37" s="15"/>
      <c r="F37" s="15"/>
      <c r="G37" s="16" t="s">
        <v>56</v>
      </c>
      <c r="H37" s="17">
        <f>AVERAGE(H33:H36)</f>
        <v>64.8125</v>
      </c>
      <c r="I37" s="36"/>
      <c r="J37" s="15"/>
      <c r="K37" s="15"/>
      <c r="L37" s="15"/>
      <c r="M37" s="15"/>
      <c r="N37" s="16" t="s">
        <v>56</v>
      </c>
      <c r="O37" s="17">
        <f>AVERAGE(O33:O36)</f>
        <v>68.5625</v>
      </c>
      <c r="P37" s="48"/>
      <c r="Q37" s="36"/>
      <c r="R37" s="15"/>
      <c r="S37" s="15"/>
      <c r="T37" s="15"/>
      <c r="U37" s="15"/>
      <c r="V37" s="16" t="s">
        <v>56</v>
      </c>
      <c r="W37" s="17">
        <f>AVERAGE(W33:W36)</f>
        <v>46.3125</v>
      </c>
      <c r="X37" s="36"/>
      <c r="Y37" s="15"/>
      <c r="Z37" s="15"/>
      <c r="AA37" s="15"/>
      <c r="AB37" s="15"/>
      <c r="AC37" s="16" t="s">
        <v>56</v>
      </c>
      <c r="AD37" s="17">
        <f>AVERAGE(AD33:AD36)</f>
        <v>33.625</v>
      </c>
      <c r="AE37" s="33"/>
    </row>
    <row r="38" spans="2:141" x14ac:dyDescent="0.25">
      <c r="B38" s="36"/>
      <c r="C38" s="15"/>
      <c r="D38" s="15"/>
      <c r="E38" s="15"/>
      <c r="F38" s="15"/>
      <c r="G38" s="16" t="s">
        <v>22</v>
      </c>
      <c r="H38" s="17">
        <f>_xlfn.STDEV.S(H33:H36)</f>
        <v>17.156601013409777</v>
      </c>
      <c r="I38" s="36"/>
      <c r="J38" s="15"/>
      <c r="K38" s="15"/>
      <c r="L38" s="15"/>
      <c r="M38" s="15"/>
      <c r="N38" s="16" t="s">
        <v>22</v>
      </c>
      <c r="O38" s="17">
        <f>_xlfn.STDEV.S(O33:O36)</f>
        <v>3.2427804427682116</v>
      </c>
      <c r="P38" s="48"/>
      <c r="Q38" s="36"/>
      <c r="R38" s="15"/>
      <c r="S38" s="15"/>
      <c r="T38" s="15"/>
      <c r="U38" s="15"/>
      <c r="V38" s="16" t="s">
        <v>22</v>
      </c>
      <c r="W38" s="17">
        <f>_xlfn.STDEV.S(W33:W36)</f>
        <v>9.4678733092495495</v>
      </c>
      <c r="X38" s="169"/>
      <c r="Y38" s="206"/>
      <c r="Z38" s="206"/>
      <c r="AA38" s="206"/>
      <c r="AB38" s="206"/>
      <c r="AC38" s="19" t="s">
        <v>22</v>
      </c>
      <c r="AD38" s="20">
        <f>_xlfn.STDEV.S(AD33:AD36)</f>
        <v>5.4867264071271737</v>
      </c>
      <c r="AE38" s="33"/>
    </row>
    <row r="39" spans="2:141" x14ac:dyDescent="0.25">
      <c r="B39" s="4" t="s">
        <v>4</v>
      </c>
      <c r="C39" s="5" t="s">
        <v>262</v>
      </c>
      <c r="D39" s="46" t="s">
        <v>52</v>
      </c>
      <c r="E39" s="46" t="s">
        <v>53</v>
      </c>
      <c r="F39" s="46" t="s">
        <v>54</v>
      </c>
      <c r="G39" s="46" t="s">
        <v>55</v>
      </c>
      <c r="H39" s="5" t="s">
        <v>235</v>
      </c>
      <c r="I39" s="4" t="s">
        <v>4</v>
      </c>
      <c r="J39" s="5" t="s">
        <v>262</v>
      </c>
      <c r="K39" s="46" t="s">
        <v>52</v>
      </c>
      <c r="L39" s="46" t="s">
        <v>53</v>
      </c>
      <c r="M39" s="46" t="s">
        <v>54</v>
      </c>
      <c r="N39" s="46" t="s">
        <v>55</v>
      </c>
      <c r="O39" s="40" t="s">
        <v>235</v>
      </c>
      <c r="P39" s="48"/>
      <c r="Q39" s="4" t="s">
        <v>25</v>
      </c>
      <c r="R39" s="8" t="s">
        <v>262</v>
      </c>
      <c r="S39" s="46" t="s">
        <v>52</v>
      </c>
      <c r="T39" s="46" t="s">
        <v>53</v>
      </c>
      <c r="U39" s="46" t="s">
        <v>54</v>
      </c>
      <c r="V39" s="46" t="s">
        <v>55</v>
      </c>
      <c r="W39" s="40" t="s">
        <v>235</v>
      </c>
      <c r="X39" s="48"/>
      <c r="Y39" s="48"/>
      <c r="Z39" s="62"/>
      <c r="AA39" s="62"/>
      <c r="AB39" s="62"/>
      <c r="AC39" s="62"/>
      <c r="AD39" s="48"/>
      <c r="AE39" s="33"/>
    </row>
    <row r="40" spans="2:141" x14ac:dyDescent="0.25">
      <c r="B40" s="39"/>
      <c r="C40" s="13" t="s">
        <v>5</v>
      </c>
      <c r="D40" s="13">
        <v>84</v>
      </c>
      <c r="E40" s="13">
        <v>84</v>
      </c>
      <c r="F40" s="13">
        <v>99</v>
      </c>
      <c r="G40" s="13">
        <v>52</v>
      </c>
      <c r="H40" s="167">
        <f>AVERAGE(D40:G40)</f>
        <v>79.75</v>
      </c>
      <c r="I40" s="39"/>
      <c r="J40" s="13" t="s">
        <v>5</v>
      </c>
      <c r="K40" s="13">
        <v>51</v>
      </c>
      <c r="L40" s="13">
        <v>35</v>
      </c>
      <c r="M40" s="13">
        <v>70</v>
      </c>
      <c r="N40" s="13">
        <v>48</v>
      </c>
      <c r="O40" s="38">
        <f>AVERAGE(K40:N40)</f>
        <v>51</v>
      </c>
      <c r="P40" s="170"/>
      <c r="Q40" s="39"/>
      <c r="R40" s="13" t="s">
        <v>5</v>
      </c>
      <c r="S40" s="15">
        <v>39</v>
      </c>
      <c r="T40" s="15">
        <v>58</v>
      </c>
      <c r="U40" s="15">
        <v>78</v>
      </c>
      <c r="V40" s="15">
        <v>19</v>
      </c>
      <c r="W40" s="167">
        <f>AVERAGE(S40:V40)</f>
        <v>48.5</v>
      </c>
      <c r="X40" s="170"/>
      <c r="Y40" s="170"/>
      <c r="Z40" s="170"/>
      <c r="AA40" s="170"/>
      <c r="AB40" s="170"/>
      <c r="AC40" s="170"/>
      <c r="AD40" s="170"/>
      <c r="AE40" s="33"/>
    </row>
    <row r="41" spans="2:141" x14ac:dyDescent="0.25">
      <c r="B41" s="52" t="s">
        <v>70</v>
      </c>
      <c r="C41" s="15" t="s">
        <v>6</v>
      </c>
      <c r="D41" s="15">
        <v>61</v>
      </c>
      <c r="E41" s="15">
        <v>116</v>
      </c>
      <c r="F41" s="15">
        <v>96</v>
      </c>
      <c r="G41" s="15">
        <v>130</v>
      </c>
      <c r="H41" s="37">
        <f>AVERAGE(D41:G41)</f>
        <v>100.75</v>
      </c>
      <c r="I41" s="52" t="s">
        <v>71</v>
      </c>
      <c r="J41" s="15" t="s">
        <v>6</v>
      </c>
      <c r="K41" s="15">
        <v>34</v>
      </c>
      <c r="L41" s="15">
        <v>48</v>
      </c>
      <c r="M41" s="15">
        <v>33</v>
      </c>
      <c r="N41" s="15">
        <v>35</v>
      </c>
      <c r="O41" s="35">
        <f>AVERAGE(K41:N41)</f>
        <v>37.5</v>
      </c>
      <c r="P41" s="63"/>
      <c r="Q41" s="52" t="s">
        <v>72</v>
      </c>
      <c r="R41" s="15" t="s">
        <v>6</v>
      </c>
      <c r="S41" s="15">
        <v>48</v>
      </c>
      <c r="T41" s="15">
        <v>63</v>
      </c>
      <c r="U41" s="15">
        <v>42</v>
      </c>
      <c r="V41" s="15">
        <v>68</v>
      </c>
      <c r="W41" s="37">
        <f>AVERAGE(S41:V41)</f>
        <v>55.25</v>
      </c>
      <c r="X41" s="64"/>
      <c r="Y41" s="170"/>
      <c r="Z41" s="170"/>
      <c r="AA41" s="170"/>
      <c r="AB41" s="170"/>
      <c r="AC41" s="170"/>
      <c r="AD41" s="63"/>
      <c r="AE41" s="33"/>
    </row>
    <row r="42" spans="2:141" x14ac:dyDescent="0.25">
      <c r="B42" s="36"/>
      <c r="C42" s="15" t="s">
        <v>7</v>
      </c>
      <c r="D42" s="15">
        <v>85</v>
      </c>
      <c r="E42" s="15">
        <v>64</v>
      </c>
      <c r="F42" s="15">
        <v>29</v>
      </c>
      <c r="G42" s="15">
        <v>112</v>
      </c>
      <c r="H42" s="37">
        <f>AVERAGE(D42:G42)</f>
        <v>72.5</v>
      </c>
      <c r="I42" s="36"/>
      <c r="J42" s="15" t="s">
        <v>7</v>
      </c>
      <c r="K42" s="15">
        <v>53</v>
      </c>
      <c r="L42" s="15">
        <v>77</v>
      </c>
      <c r="M42" s="15">
        <v>85</v>
      </c>
      <c r="N42" s="15">
        <v>14</v>
      </c>
      <c r="O42" s="35">
        <f>AVERAGE(K42:N42)</f>
        <v>57.25</v>
      </c>
      <c r="P42" s="170"/>
      <c r="Q42" s="36"/>
      <c r="R42" s="15" t="s">
        <v>7</v>
      </c>
      <c r="S42" s="15">
        <v>59</v>
      </c>
      <c r="T42" s="15">
        <v>70</v>
      </c>
      <c r="U42" s="15">
        <v>60</v>
      </c>
      <c r="V42" s="15">
        <v>66</v>
      </c>
      <c r="W42" s="37">
        <f>AVERAGE(S42:V42)</f>
        <v>63.75</v>
      </c>
      <c r="X42" s="170"/>
      <c r="Y42" s="170"/>
      <c r="Z42" s="170"/>
      <c r="AA42" s="170"/>
      <c r="AB42" s="170"/>
      <c r="AC42" s="170"/>
      <c r="AD42" s="170"/>
      <c r="AE42" s="33"/>
    </row>
    <row r="43" spans="2:141" x14ac:dyDescent="0.25">
      <c r="B43" s="36"/>
      <c r="C43" s="15" t="s">
        <v>8</v>
      </c>
      <c r="D43" s="15">
        <v>129</v>
      </c>
      <c r="E43" s="15">
        <v>92</v>
      </c>
      <c r="F43" s="15">
        <v>94</v>
      </c>
      <c r="G43" s="15">
        <v>71</v>
      </c>
      <c r="H43" s="37">
        <f>AVERAGE(D43:G43)</f>
        <v>96.5</v>
      </c>
      <c r="I43" s="36"/>
      <c r="J43" s="15" t="s">
        <v>8</v>
      </c>
      <c r="K43" s="15">
        <v>79</v>
      </c>
      <c r="L43" s="15">
        <v>102</v>
      </c>
      <c r="M43" s="15">
        <v>158</v>
      </c>
      <c r="N43" s="15">
        <v>19</v>
      </c>
      <c r="O43" s="35">
        <f>AVERAGE(K43:N43)</f>
        <v>89.5</v>
      </c>
      <c r="P43" s="170"/>
      <c r="Q43" s="36"/>
      <c r="R43" s="15" t="s">
        <v>8</v>
      </c>
      <c r="S43" s="15">
        <v>27</v>
      </c>
      <c r="T43" s="15">
        <v>22</v>
      </c>
      <c r="U43" s="15">
        <v>51</v>
      </c>
      <c r="V43" s="15">
        <v>31</v>
      </c>
      <c r="W43" s="37">
        <f>AVERAGE(S43:V43)</f>
        <v>32.75</v>
      </c>
      <c r="X43" s="170"/>
      <c r="Y43" s="170"/>
      <c r="Z43" s="170"/>
      <c r="AA43" s="170"/>
      <c r="AB43" s="170"/>
      <c r="AC43" s="170"/>
      <c r="AD43" s="170"/>
      <c r="AE43" s="33"/>
    </row>
    <row r="44" spans="2:141" x14ac:dyDescent="0.25">
      <c r="B44" s="36"/>
      <c r="C44" s="15"/>
      <c r="D44" s="15"/>
      <c r="E44" s="15"/>
      <c r="F44" s="15"/>
      <c r="G44" s="16" t="s">
        <v>56</v>
      </c>
      <c r="H44" s="17">
        <f>AVERAGE(H40:H43)</f>
        <v>87.375</v>
      </c>
      <c r="I44" s="36"/>
      <c r="J44" s="15"/>
      <c r="K44" s="15"/>
      <c r="L44" s="15"/>
      <c r="M44" s="15"/>
      <c r="N44" s="16" t="s">
        <v>56</v>
      </c>
      <c r="O44" s="17">
        <f>AVERAGE(O40:O43)</f>
        <v>58.8125</v>
      </c>
      <c r="P44" s="48"/>
      <c r="Q44" s="36"/>
      <c r="R44" s="15"/>
      <c r="S44" s="15"/>
      <c r="T44" s="15"/>
      <c r="U44" s="15"/>
      <c r="V44" s="16" t="s">
        <v>56</v>
      </c>
      <c r="W44" s="17">
        <f>AVERAGE(W40:W43)</f>
        <v>50.0625</v>
      </c>
      <c r="X44" s="170"/>
      <c r="Y44" s="170"/>
      <c r="Z44" s="170"/>
      <c r="AA44" s="170"/>
      <c r="AB44" s="170"/>
      <c r="AC44" s="48"/>
      <c r="AD44" s="58"/>
      <c r="AE44" s="33"/>
    </row>
    <row r="45" spans="2:141" x14ac:dyDescent="0.25">
      <c r="B45" s="36"/>
      <c r="C45" s="15"/>
      <c r="D45" s="15"/>
      <c r="E45" s="15"/>
      <c r="F45" s="15"/>
      <c r="G45" s="16" t="s">
        <v>22</v>
      </c>
      <c r="H45" s="17">
        <f>_xlfn.STDEV.S(H40:H43)</f>
        <v>13.435804156556218</v>
      </c>
      <c r="I45" s="36"/>
      <c r="J45" s="15"/>
      <c r="K45" s="15"/>
      <c r="L45" s="15"/>
      <c r="M45" s="15"/>
      <c r="N45" s="16" t="s">
        <v>22</v>
      </c>
      <c r="O45" s="17">
        <f>_xlfn.STDEV.S(O40:O43)</f>
        <v>22.05615465880971</v>
      </c>
      <c r="P45" s="48"/>
      <c r="Q45" s="36"/>
      <c r="R45" s="15"/>
      <c r="S45" s="15"/>
      <c r="T45" s="15"/>
      <c r="U45" s="15"/>
      <c r="V45" s="16" t="s">
        <v>22</v>
      </c>
      <c r="W45" s="17">
        <f>_xlfn.STDEV.S(W40:W43)</f>
        <v>13.120237231086945</v>
      </c>
      <c r="X45" s="170"/>
      <c r="Y45" s="170"/>
      <c r="Z45" s="170"/>
      <c r="AA45" s="170"/>
      <c r="AB45" s="170"/>
      <c r="AC45" s="48"/>
      <c r="AD45" s="58"/>
      <c r="AE45" s="33"/>
    </row>
    <row r="46" spans="2:141" x14ac:dyDescent="0.25">
      <c r="B46" s="4" t="s">
        <v>4</v>
      </c>
      <c r="C46" s="5" t="s">
        <v>262</v>
      </c>
      <c r="D46" s="46" t="s">
        <v>52</v>
      </c>
      <c r="E46" s="46" t="s">
        <v>53</v>
      </c>
      <c r="F46" s="46" t="s">
        <v>54</v>
      </c>
      <c r="G46" s="46" t="s">
        <v>55</v>
      </c>
      <c r="H46" s="5" t="s">
        <v>235</v>
      </c>
      <c r="I46" s="4" t="s">
        <v>4</v>
      </c>
      <c r="J46" s="5" t="s">
        <v>262</v>
      </c>
      <c r="K46" s="46" t="s">
        <v>52</v>
      </c>
      <c r="L46" s="46" t="s">
        <v>53</v>
      </c>
      <c r="M46" s="46" t="s">
        <v>54</v>
      </c>
      <c r="N46" s="46" t="s">
        <v>55</v>
      </c>
      <c r="O46" s="40" t="s">
        <v>235</v>
      </c>
      <c r="P46" s="48"/>
      <c r="Q46" s="4" t="s">
        <v>25</v>
      </c>
      <c r="R46" s="8" t="s">
        <v>262</v>
      </c>
      <c r="S46" s="46" t="s">
        <v>52</v>
      </c>
      <c r="T46" s="46" t="s">
        <v>53</v>
      </c>
      <c r="U46" s="46" t="s">
        <v>54</v>
      </c>
      <c r="V46" s="46" t="s">
        <v>55</v>
      </c>
      <c r="W46" s="40" t="s">
        <v>235</v>
      </c>
      <c r="X46" s="48"/>
      <c r="Y46" s="48"/>
      <c r="Z46" s="62"/>
      <c r="AA46" s="62"/>
      <c r="AB46" s="62"/>
      <c r="AC46" s="62"/>
      <c r="AD46" s="48"/>
      <c r="AE46" s="33"/>
    </row>
    <row r="47" spans="2:141" x14ac:dyDescent="0.25">
      <c r="B47" s="39"/>
      <c r="C47" s="13" t="s">
        <v>5</v>
      </c>
      <c r="D47" s="13">
        <v>133</v>
      </c>
      <c r="E47" s="13">
        <v>52</v>
      </c>
      <c r="F47" s="13">
        <v>143</v>
      </c>
      <c r="G47" s="13">
        <v>74</v>
      </c>
      <c r="H47" s="167">
        <f>AVERAGE(D47:G47)</f>
        <v>100.5</v>
      </c>
      <c r="I47" s="39"/>
      <c r="J47" s="13" t="s">
        <v>5</v>
      </c>
      <c r="K47" s="13">
        <v>89</v>
      </c>
      <c r="L47" s="13">
        <v>51</v>
      </c>
      <c r="M47" s="13">
        <v>18</v>
      </c>
      <c r="N47" s="13">
        <v>42</v>
      </c>
      <c r="O47" s="167">
        <f>AVERAGE(K47:N47)</f>
        <v>50</v>
      </c>
      <c r="P47" s="170"/>
      <c r="Q47" s="39"/>
      <c r="R47" s="13" t="s">
        <v>5</v>
      </c>
      <c r="S47" s="15">
        <v>34</v>
      </c>
      <c r="T47" s="15">
        <v>25</v>
      </c>
      <c r="U47" s="15">
        <v>32</v>
      </c>
      <c r="V47" s="15">
        <v>47</v>
      </c>
      <c r="W47" s="167">
        <f>AVERAGE(S47:V47)</f>
        <v>34.5</v>
      </c>
      <c r="X47" s="170"/>
      <c r="Y47" s="170"/>
      <c r="Z47" s="170"/>
      <c r="AA47" s="170"/>
      <c r="AB47" s="170"/>
      <c r="AC47" s="170"/>
      <c r="AD47" s="170"/>
      <c r="AE47" s="33"/>
    </row>
    <row r="48" spans="2:141" x14ac:dyDescent="0.25">
      <c r="B48" s="52" t="s">
        <v>73</v>
      </c>
      <c r="C48" s="15" t="s">
        <v>6</v>
      </c>
      <c r="D48" s="15">
        <v>88</v>
      </c>
      <c r="E48" s="15">
        <v>46</v>
      </c>
      <c r="F48" s="15">
        <v>69</v>
      </c>
      <c r="G48" s="15">
        <v>107</v>
      </c>
      <c r="H48" s="37">
        <f>AVERAGE(D48:G48)</f>
        <v>77.5</v>
      </c>
      <c r="I48" s="65" t="s">
        <v>74</v>
      </c>
      <c r="J48" s="15" t="s">
        <v>6</v>
      </c>
      <c r="K48" s="15">
        <v>35</v>
      </c>
      <c r="L48" s="15">
        <v>109</v>
      </c>
      <c r="M48" s="15">
        <v>143</v>
      </c>
      <c r="N48" s="15">
        <v>55</v>
      </c>
      <c r="O48" s="35">
        <f>AVERAGE(K48:N48)</f>
        <v>85.5</v>
      </c>
      <c r="P48" s="170"/>
      <c r="Q48" s="52" t="s">
        <v>75</v>
      </c>
      <c r="R48" s="15" t="s">
        <v>6</v>
      </c>
      <c r="S48" s="15">
        <v>51</v>
      </c>
      <c r="T48" s="15">
        <v>28</v>
      </c>
      <c r="U48" s="15">
        <v>22</v>
      </c>
      <c r="V48" s="15">
        <v>39</v>
      </c>
      <c r="W48" s="37">
        <f>AVERAGE(S48:V48)</f>
        <v>35</v>
      </c>
      <c r="X48" s="66"/>
      <c r="Y48" s="170"/>
      <c r="Z48" s="170"/>
      <c r="AA48" s="170"/>
      <c r="AB48" s="170"/>
      <c r="AC48" s="170"/>
      <c r="AD48" s="170"/>
      <c r="AE48" s="33"/>
    </row>
    <row r="49" spans="2:31" x14ac:dyDescent="0.25">
      <c r="B49" s="36"/>
      <c r="C49" s="15" t="s">
        <v>7</v>
      </c>
      <c r="D49" s="15">
        <v>137</v>
      </c>
      <c r="E49" s="15">
        <v>38</v>
      </c>
      <c r="F49" s="15">
        <v>52</v>
      </c>
      <c r="G49" s="15">
        <v>46</v>
      </c>
      <c r="H49" s="37">
        <f>AVERAGE(D49:G49)</f>
        <v>68.25</v>
      </c>
      <c r="I49" s="36"/>
      <c r="J49" s="15" t="s">
        <v>7</v>
      </c>
      <c r="K49" s="15">
        <v>51</v>
      </c>
      <c r="L49" s="15">
        <v>53</v>
      </c>
      <c r="M49" s="15">
        <v>14</v>
      </c>
      <c r="N49" s="15">
        <v>33</v>
      </c>
      <c r="O49" s="35">
        <f>AVERAGE(K49:N49)</f>
        <v>37.75</v>
      </c>
      <c r="P49" s="63"/>
      <c r="Q49" s="36"/>
      <c r="R49" s="15" t="s">
        <v>7</v>
      </c>
      <c r="S49" s="15">
        <v>40</v>
      </c>
      <c r="T49" s="15">
        <v>30</v>
      </c>
      <c r="U49" s="15">
        <v>25</v>
      </c>
      <c r="V49" s="15">
        <v>39</v>
      </c>
      <c r="W49" s="37">
        <f>AVERAGE(S49:V49)</f>
        <v>33.5</v>
      </c>
      <c r="X49" s="170"/>
      <c r="Y49" s="170"/>
      <c r="Z49" s="170"/>
      <c r="AA49" s="170"/>
      <c r="AB49" s="170"/>
      <c r="AC49" s="170"/>
      <c r="AD49" s="63"/>
      <c r="AE49" s="33"/>
    </row>
    <row r="50" spans="2:31" x14ac:dyDescent="0.25">
      <c r="B50" s="36"/>
      <c r="C50" s="15" t="s">
        <v>8</v>
      </c>
      <c r="D50" s="15">
        <v>63</v>
      </c>
      <c r="E50" s="15">
        <v>52</v>
      </c>
      <c r="F50" s="15">
        <v>43</v>
      </c>
      <c r="G50" s="15">
        <v>156</v>
      </c>
      <c r="H50" s="37">
        <f>AVERAGE(D50:G50)</f>
        <v>78.5</v>
      </c>
      <c r="I50" s="36"/>
      <c r="J50" s="15" t="s">
        <v>8</v>
      </c>
      <c r="K50" s="15">
        <v>53</v>
      </c>
      <c r="L50" s="15">
        <v>33</v>
      </c>
      <c r="M50" s="15">
        <v>14</v>
      </c>
      <c r="N50" s="15">
        <v>76</v>
      </c>
      <c r="O50" s="35">
        <f>AVERAGE(K50:N50)</f>
        <v>44</v>
      </c>
      <c r="P50" s="15"/>
      <c r="Q50" s="36"/>
      <c r="R50" s="15" t="s">
        <v>8</v>
      </c>
      <c r="S50" s="15">
        <v>45</v>
      </c>
      <c r="T50" s="15">
        <v>30</v>
      </c>
      <c r="U50" s="15">
        <v>20</v>
      </c>
      <c r="V50" s="15">
        <v>50</v>
      </c>
      <c r="W50" s="37">
        <f>AVERAGE(S50:V50)</f>
        <v>36.25</v>
      </c>
      <c r="X50" s="170"/>
      <c r="Y50" s="170"/>
      <c r="Z50" s="170"/>
      <c r="AA50" s="170"/>
      <c r="AB50" s="170"/>
      <c r="AC50" s="170"/>
      <c r="AD50" s="170"/>
      <c r="AE50" s="33"/>
    </row>
    <row r="51" spans="2:31" x14ac:dyDescent="0.25">
      <c r="B51" s="36"/>
      <c r="C51" s="15"/>
      <c r="D51" s="15"/>
      <c r="E51" s="15"/>
      <c r="F51" s="15"/>
      <c r="G51" s="16" t="s">
        <v>56</v>
      </c>
      <c r="H51" s="17">
        <f>AVERAGE(H47:H50)</f>
        <v>81.1875</v>
      </c>
      <c r="I51" s="36"/>
      <c r="J51" s="15"/>
      <c r="K51" s="15"/>
      <c r="L51" s="15"/>
      <c r="M51" s="15"/>
      <c r="N51" s="16" t="s">
        <v>56</v>
      </c>
      <c r="O51" s="17">
        <f>AVERAGE(O47:O50)</f>
        <v>54.3125</v>
      </c>
      <c r="P51" s="48"/>
      <c r="Q51" s="36"/>
      <c r="R51" s="15"/>
      <c r="S51" s="15"/>
      <c r="T51" s="15"/>
      <c r="U51" s="15"/>
      <c r="V51" s="16" t="s">
        <v>56</v>
      </c>
      <c r="W51" s="17">
        <f>AVERAGE(W47:W50)</f>
        <v>34.8125</v>
      </c>
      <c r="X51" s="170"/>
      <c r="Y51" s="170"/>
      <c r="Z51" s="170"/>
      <c r="AA51" s="170"/>
      <c r="AB51" s="170"/>
      <c r="AC51" s="48"/>
      <c r="AD51" s="58"/>
      <c r="AE51" s="33"/>
    </row>
    <row r="52" spans="2:31" x14ac:dyDescent="0.25">
      <c r="B52" s="36"/>
      <c r="C52" s="15"/>
      <c r="D52" s="15"/>
      <c r="E52" s="15"/>
      <c r="F52" s="15"/>
      <c r="G52" s="16" t="s">
        <v>22</v>
      </c>
      <c r="H52" s="17">
        <f>_xlfn.STDEV.S(H47:H50)</f>
        <v>13.676888961553598</v>
      </c>
      <c r="I52" s="169"/>
      <c r="J52" s="206"/>
      <c r="K52" s="206"/>
      <c r="L52" s="206"/>
      <c r="M52" s="206"/>
      <c r="N52" s="19" t="s">
        <v>22</v>
      </c>
      <c r="O52" s="20">
        <f>_xlfn.STDEV.S(O47:O50)</f>
        <v>21.384744367578179</v>
      </c>
      <c r="P52" s="48"/>
      <c r="Q52" s="36"/>
      <c r="R52" s="15"/>
      <c r="S52" s="15"/>
      <c r="T52" s="15"/>
      <c r="U52" s="15"/>
      <c r="V52" s="16" t="s">
        <v>22</v>
      </c>
      <c r="W52" s="17">
        <f>_xlfn.STDEV.S(W47:W50)</f>
        <v>1.1433685611676869</v>
      </c>
      <c r="X52" s="170"/>
      <c r="Y52" s="170"/>
      <c r="Z52" s="170"/>
      <c r="AA52" s="170"/>
      <c r="AB52" s="170"/>
      <c r="AC52" s="48"/>
      <c r="AD52" s="58"/>
      <c r="AE52" s="33"/>
    </row>
    <row r="53" spans="2:31" x14ac:dyDescent="0.25">
      <c r="B53" s="4" t="s">
        <v>4</v>
      </c>
      <c r="C53" s="5" t="s">
        <v>262</v>
      </c>
      <c r="D53" s="46" t="s">
        <v>52</v>
      </c>
      <c r="E53" s="46" t="s">
        <v>53</v>
      </c>
      <c r="F53" s="46" t="s">
        <v>54</v>
      </c>
      <c r="G53" s="46" t="s">
        <v>55</v>
      </c>
      <c r="H53" s="40" t="s">
        <v>235</v>
      </c>
      <c r="I53" s="33"/>
      <c r="J53" s="33"/>
      <c r="K53" s="33"/>
      <c r="L53" s="33"/>
      <c r="M53" s="33"/>
      <c r="N53" s="33"/>
      <c r="O53" s="33"/>
      <c r="P53" s="33"/>
      <c r="Q53" s="4" t="s">
        <v>25</v>
      </c>
      <c r="R53" s="8" t="s">
        <v>262</v>
      </c>
      <c r="S53" s="46" t="s">
        <v>52</v>
      </c>
      <c r="T53" s="46" t="s">
        <v>53</v>
      </c>
      <c r="U53" s="46" t="s">
        <v>54</v>
      </c>
      <c r="V53" s="46" t="s">
        <v>55</v>
      </c>
      <c r="W53" s="40" t="s">
        <v>235</v>
      </c>
      <c r="X53" s="33"/>
      <c r="Y53" s="33"/>
      <c r="Z53" s="33"/>
      <c r="AA53" s="33"/>
      <c r="AB53" s="33"/>
      <c r="AC53" s="33"/>
      <c r="AD53" s="33"/>
      <c r="AE53" s="33"/>
    </row>
    <row r="54" spans="2:31" x14ac:dyDescent="0.25">
      <c r="B54" s="39"/>
      <c r="C54" s="13" t="s">
        <v>5</v>
      </c>
      <c r="D54" s="13">
        <v>246</v>
      </c>
      <c r="E54" s="13">
        <v>59</v>
      </c>
      <c r="F54" s="13">
        <v>140</v>
      </c>
      <c r="G54" s="13">
        <v>173</v>
      </c>
      <c r="H54" s="167">
        <f>AVERAGE(D54:G54)</f>
        <v>154.5</v>
      </c>
      <c r="I54" s="33"/>
      <c r="J54" s="33"/>
      <c r="K54" s="33"/>
      <c r="L54" s="33"/>
      <c r="M54" s="33"/>
      <c r="N54" s="33"/>
      <c r="O54" s="33"/>
      <c r="P54" s="33"/>
      <c r="Q54" s="36"/>
      <c r="R54" s="13" t="s">
        <v>5</v>
      </c>
      <c r="S54" s="258">
        <v>66</v>
      </c>
      <c r="T54" s="258">
        <v>27</v>
      </c>
      <c r="U54" s="258">
        <v>88</v>
      </c>
      <c r="V54" s="258">
        <v>35</v>
      </c>
      <c r="W54" s="37">
        <f>AVERAGE(S54:V54)</f>
        <v>54</v>
      </c>
      <c r="X54" s="33"/>
      <c r="Y54" s="33"/>
      <c r="Z54" s="33"/>
      <c r="AA54" s="33"/>
      <c r="AB54" s="33"/>
      <c r="AC54" s="33"/>
      <c r="AD54" s="33"/>
      <c r="AE54" s="33"/>
    </row>
    <row r="55" spans="2:31" x14ac:dyDescent="0.25">
      <c r="B55" s="65" t="s">
        <v>214</v>
      </c>
      <c r="C55" s="15" t="s">
        <v>6</v>
      </c>
      <c r="D55" s="15">
        <v>102</v>
      </c>
      <c r="E55" s="15">
        <v>217</v>
      </c>
      <c r="F55" s="15">
        <v>139</v>
      </c>
      <c r="G55" s="15">
        <v>58</v>
      </c>
      <c r="H55" s="37">
        <f>AVERAGE(D55:G55)</f>
        <v>129</v>
      </c>
      <c r="I55" s="33"/>
      <c r="J55" s="33"/>
      <c r="K55" s="33"/>
      <c r="L55" s="33"/>
      <c r="M55" s="33"/>
      <c r="N55" s="33"/>
      <c r="O55" s="33"/>
      <c r="P55" s="33"/>
      <c r="Q55" s="65" t="s">
        <v>76</v>
      </c>
      <c r="R55" s="15" t="s">
        <v>6</v>
      </c>
      <c r="S55" s="258">
        <v>75</v>
      </c>
      <c r="T55" s="258">
        <v>54</v>
      </c>
      <c r="U55" s="258">
        <v>123</v>
      </c>
      <c r="V55" s="258">
        <v>33</v>
      </c>
      <c r="W55" s="37">
        <f>AVERAGE(S55:V55)</f>
        <v>71.25</v>
      </c>
      <c r="X55" s="33"/>
      <c r="Y55" s="33"/>
      <c r="Z55" s="33"/>
      <c r="AA55" s="33"/>
      <c r="AB55" s="33"/>
      <c r="AC55" s="33"/>
      <c r="AD55" s="33"/>
      <c r="AE55" s="33"/>
    </row>
    <row r="56" spans="2:31" x14ac:dyDescent="0.25">
      <c r="B56" s="36"/>
      <c r="C56" s="15" t="s">
        <v>7</v>
      </c>
      <c r="D56" s="15">
        <v>168</v>
      </c>
      <c r="E56" s="15">
        <v>260</v>
      </c>
      <c r="F56" s="15">
        <v>91</v>
      </c>
      <c r="G56" s="15">
        <v>43</v>
      </c>
      <c r="H56" s="37">
        <f>AVERAGE(D56:G56)</f>
        <v>140.5</v>
      </c>
      <c r="I56" s="33"/>
      <c r="J56" s="33"/>
      <c r="K56" s="33"/>
      <c r="L56" s="33"/>
      <c r="M56" s="33"/>
      <c r="N56" s="33"/>
      <c r="O56" s="33"/>
      <c r="P56" s="33"/>
      <c r="Q56" s="36"/>
      <c r="R56" s="15" t="s">
        <v>7</v>
      </c>
      <c r="S56" s="258">
        <v>72</v>
      </c>
      <c r="T56" s="258">
        <v>46</v>
      </c>
      <c r="U56" s="258">
        <v>35</v>
      </c>
      <c r="V56" s="258">
        <v>33</v>
      </c>
      <c r="W56" s="37">
        <f>AVERAGE(S56:V56)</f>
        <v>46.5</v>
      </c>
      <c r="X56" s="33"/>
      <c r="Y56" s="33"/>
      <c r="Z56" s="33"/>
      <c r="AA56" s="33"/>
      <c r="AB56" s="33"/>
      <c r="AC56" s="33"/>
      <c r="AD56" s="33"/>
      <c r="AE56" s="33"/>
    </row>
    <row r="57" spans="2:31" x14ac:dyDescent="0.25">
      <c r="B57" s="36"/>
      <c r="C57" s="15" t="s">
        <v>8</v>
      </c>
      <c r="D57" s="15">
        <v>76</v>
      </c>
      <c r="E57" s="15">
        <v>67</v>
      </c>
      <c r="F57" s="15">
        <v>304</v>
      </c>
      <c r="G57" s="15">
        <v>150</v>
      </c>
      <c r="H57" s="37">
        <f>AVERAGE(D57:G57)</f>
        <v>149.25</v>
      </c>
      <c r="I57" s="33"/>
      <c r="J57" s="33"/>
      <c r="K57" s="33"/>
      <c r="L57" s="33"/>
      <c r="M57" s="33"/>
      <c r="N57" s="33"/>
      <c r="O57" s="33"/>
      <c r="P57" s="33"/>
      <c r="Q57" s="36"/>
      <c r="R57" s="15" t="s">
        <v>8</v>
      </c>
      <c r="S57" s="258">
        <v>22</v>
      </c>
      <c r="T57" s="258">
        <v>43</v>
      </c>
      <c r="U57" s="258">
        <v>16</v>
      </c>
      <c r="V57" s="258">
        <v>37</v>
      </c>
      <c r="W57" s="37">
        <f>AVERAGE(S57:V57)</f>
        <v>29.5</v>
      </c>
      <c r="X57" s="33"/>
      <c r="Y57" s="33"/>
      <c r="Z57" s="33"/>
      <c r="AA57" s="33"/>
      <c r="AB57" s="33"/>
      <c r="AC57" s="33"/>
      <c r="AD57" s="33"/>
      <c r="AE57" s="33"/>
    </row>
    <row r="58" spans="2:31" x14ac:dyDescent="0.25">
      <c r="B58" s="36"/>
      <c r="C58" s="15"/>
      <c r="D58" s="15"/>
      <c r="E58" s="15"/>
      <c r="F58" s="15"/>
      <c r="G58" s="16" t="s">
        <v>56</v>
      </c>
      <c r="H58" s="121">
        <f>AVERAGE(H54:H57)</f>
        <v>143.3125</v>
      </c>
      <c r="I58" s="33"/>
      <c r="J58" s="33"/>
      <c r="K58" s="33"/>
      <c r="L58" s="33"/>
      <c r="M58" s="33"/>
      <c r="N58" s="33"/>
      <c r="O58" s="33"/>
      <c r="P58" s="33"/>
      <c r="Q58" s="36"/>
      <c r="R58" s="15"/>
      <c r="S58" s="15"/>
      <c r="T58" s="15"/>
      <c r="U58" s="15"/>
      <c r="V58" s="16" t="s">
        <v>56</v>
      </c>
      <c r="W58" s="17">
        <f>AVERAGE(W54:W57)</f>
        <v>50.3125</v>
      </c>
      <c r="X58" s="33"/>
      <c r="Y58" s="33"/>
      <c r="Z58" s="33"/>
      <c r="AA58" s="33"/>
      <c r="AB58" s="33"/>
      <c r="AC58" s="33"/>
      <c r="AD58" s="33"/>
      <c r="AE58" s="33"/>
    </row>
    <row r="59" spans="2:31" x14ac:dyDescent="0.25">
      <c r="B59" s="169"/>
      <c r="C59" s="206"/>
      <c r="D59" s="206"/>
      <c r="E59" s="206"/>
      <c r="F59" s="206"/>
      <c r="G59" s="19" t="s">
        <v>22</v>
      </c>
      <c r="H59" s="20">
        <f>_xlfn.STDEV.S(H54:H57)</f>
        <v>11.153054514347179</v>
      </c>
      <c r="I59" s="33"/>
      <c r="J59" s="33"/>
      <c r="K59" s="33"/>
      <c r="L59" s="33"/>
      <c r="M59" s="33"/>
      <c r="N59" s="33"/>
      <c r="O59" s="33"/>
      <c r="P59" s="33"/>
      <c r="Q59" s="36"/>
      <c r="R59" s="15"/>
      <c r="S59" s="15"/>
      <c r="T59" s="15"/>
      <c r="U59" s="15"/>
      <c r="V59" s="16" t="s">
        <v>22</v>
      </c>
      <c r="W59" s="17">
        <f>_xlfn.STDEV.S(W54:W57)</f>
        <v>17.317350403569247</v>
      </c>
      <c r="X59" s="33"/>
      <c r="Y59" s="33"/>
      <c r="Z59" s="33"/>
      <c r="AA59" s="33"/>
      <c r="AB59" s="33"/>
      <c r="AC59" s="33"/>
      <c r="AD59" s="33"/>
      <c r="AE59" s="33"/>
    </row>
    <row r="60" spans="2:31" x14ac:dyDescent="0.25">
      <c r="B60" s="15"/>
      <c r="C60" s="15"/>
      <c r="D60" s="234"/>
      <c r="E60" s="234"/>
      <c r="F60" s="234"/>
      <c r="G60" s="234"/>
      <c r="H60" s="234"/>
      <c r="I60" s="33"/>
      <c r="J60" s="33"/>
      <c r="K60" s="33"/>
      <c r="L60" s="33"/>
      <c r="M60" s="33"/>
      <c r="N60" s="33"/>
      <c r="O60" s="33"/>
      <c r="P60" s="33"/>
      <c r="Q60" s="4" t="s">
        <v>25</v>
      </c>
      <c r="R60" s="8" t="s">
        <v>262</v>
      </c>
      <c r="S60" s="46" t="s">
        <v>52</v>
      </c>
      <c r="T60" s="46" t="s">
        <v>53</v>
      </c>
      <c r="U60" s="46" t="s">
        <v>54</v>
      </c>
      <c r="V60" s="46" t="s">
        <v>55</v>
      </c>
      <c r="W60" s="40" t="s">
        <v>235</v>
      </c>
      <c r="X60" s="33"/>
      <c r="Y60" s="33"/>
      <c r="Z60" s="33"/>
      <c r="AA60" s="33"/>
      <c r="AB60" s="33"/>
      <c r="AC60" s="33"/>
      <c r="AD60" s="33"/>
      <c r="AE60" s="33"/>
    </row>
    <row r="61" spans="2:31" x14ac:dyDescent="0.25">
      <c r="B61" s="234"/>
      <c r="C61" s="234"/>
      <c r="D61" s="234"/>
      <c r="E61" s="234"/>
      <c r="F61" s="234"/>
      <c r="G61" s="234"/>
      <c r="H61" s="234"/>
      <c r="I61" s="33"/>
      <c r="J61" s="33"/>
      <c r="K61" s="33"/>
      <c r="L61" s="33"/>
      <c r="M61" s="33"/>
      <c r="N61" s="33"/>
      <c r="O61" s="33"/>
      <c r="P61" s="33"/>
      <c r="Q61" s="36"/>
      <c r="R61" s="13" t="s">
        <v>5</v>
      </c>
      <c r="S61" s="258">
        <v>16</v>
      </c>
      <c r="T61" s="258">
        <v>18</v>
      </c>
      <c r="U61" s="258">
        <v>41</v>
      </c>
      <c r="V61" s="258">
        <v>27</v>
      </c>
      <c r="W61" s="37">
        <f>AVERAGE(S61:V61)</f>
        <v>25.5</v>
      </c>
      <c r="X61" s="33"/>
      <c r="Y61" s="33"/>
      <c r="Z61" s="33"/>
      <c r="AA61" s="33"/>
      <c r="AB61" s="33"/>
      <c r="AC61" s="33"/>
      <c r="AD61" s="33"/>
      <c r="AE61" s="33"/>
    </row>
    <row r="62" spans="2:31" x14ac:dyDescent="0.25">
      <c r="B62" s="234"/>
      <c r="C62" s="234"/>
      <c r="D62" s="234"/>
      <c r="E62" s="234"/>
      <c r="F62" s="234"/>
      <c r="G62" s="234"/>
      <c r="H62" s="234"/>
      <c r="I62" s="33"/>
      <c r="J62" s="33"/>
      <c r="K62" s="33"/>
      <c r="L62" s="33"/>
      <c r="M62" s="33"/>
      <c r="N62" s="33"/>
      <c r="O62" s="33"/>
      <c r="P62" s="33"/>
      <c r="Q62" s="65" t="s">
        <v>77</v>
      </c>
      <c r="R62" s="15" t="s">
        <v>6</v>
      </c>
      <c r="S62" s="258">
        <v>60</v>
      </c>
      <c r="T62" s="258">
        <v>80</v>
      </c>
      <c r="U62" s="258">
        <v>25</v>
      </c>
      <c r="V62" s="258">
        <v>20</v>
      </c>
      <c r="W62" s="37">
        <f>AVERAGE(S62:V62)</f>
        <v>46.25</v>
      </c>
      <c r="X62" s="33"/>
      <c r="Y62" s="33"/>
      <c r="Z62" s="33"/>
      <c r="AA62" s="33"/>
      <c r="AB62" s="33"/>
      <c r="AC62" s="33"/>
      <c r="AD62" s="33"/>
      <c r="AE62" s="33"/>
    </row>
    <row r="63" spans="2:31" x14ac:dyDescent="0.25">
      <c r="B63" s="259"/>
      <c r="C63" s="170"/>
      <c r="D63" s="170"/>
      <c r="E63" s="170"/>
      <c r="F63" s="170"/>
      <c r="G63" s="234"/>
      <c r="H63" s="234"/>
      <c r="I63" s="33"/>
      <c r="J63" s="33"/>
      <c r="K63" s="33"/>
      <c r="L63" s="33"/>
      <c r="M63" s="33"/>
      <c r="N63" s="33"/>
      <c r="O63" s="33"/>
      <c r="P63" s="33"/>
      <c r="Q63" s="36"/>
      <c r="R63" s="15" t="s">
        <v>7</v>
      </c>
      <c r="S63" s="258">
        <v>6</v>
      </c>
      <c r="T63" s="258">
        <v>32</v>
      </c>
      <c r="U63" s="258">
        <v>56</v>
      </c>
      <c r="V63" s="258">
        <v>33</v>
      </c>
      <c r="W63" s="37">
        <f>AVERAGE(S63:V63)</f>
        <v>31.75</v>
      </c>
      <c r="X63" s="33"/>
      <c r="Y63" s="33"/>
      <c r="Z63" s="33"/>
      <c r="AA63" s="33"/>
      <c r="AB63" s="33"/>
      <c r="AC63" s="33"/>
      <c r="AD63" s="33"/>
      <c r="AE63" s="33"/>
    </row>
    <row r="64" spans="2:31" x14ac:dyDescent="0.25"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6"/>
      <c r="R64" s="15" t="s">
        <v>8</v>
      </c>
      <c r="S64" s="258">
        <v>36</v>
      </c>
      <c r="T64" s="258">
        <v>56</v>
      </c>
      <c r="U64" s="258">
        <v>103</v>
      </c>
      <c r="V64" s="258">
        <v>33</v>
      </c>
      <c r="W64" s="37">
        <f>AVERAGE(S64:V64)</f>
        <v>57</v>
      </c>
      <c r="X64" s="33"/>
      <c r="Y64" s="33"/>
      <c r="Z64" s="33"/>
      <c r="AA64" s="33"/>
      <c r="AB64" s="33"/>
      <c r="AC64" s="33"/>
      <c r="AD64" s="33"/>
      <c r="AE64" s="33"/>
    </row>
    <row r="65" spans="2:31" x14ac:dyDescent="0.25"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6"/>
      <c r="R65" s="15"/>
      <c r="S65" s="15"/>
      <c r="T65" s="15"/>
      <c r="U65" s="15"/>
      <c r="V65" s="16" t="s">
        <v>56</v>
      </c>
      <c r="W65" s="17">
        <f>AVERAGE(W61:W64)</f>
        <v>40.125</v>
      </c>
      <c r="X65" s="33"/>
      <c r="Y65" s="33"/>
      <c r="Z65" s="33"/>
      <c r="AA65" s="33"/>
      <c r="AB65" s="33"/>
      <c r="AC65" s="33"/>
      <c r="AD65" s="33"/>
      <c r="AE65" s="33"/>
    </row>
    <row r="66" spans="2:31" x14ac:dyDescent="0.25"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6"/>
      <c r="R66" s="15"/>
      <c r="S66" s="15"/>
      <c r="T66" s="15"/>
      <c r="U66" s="15"/>
      <c r="V66" s="16" t="s">
        <v>22</v>
      </c>
      <c r="W66" s="17">
        <f>_xlfn.STDEV.S(W61:W64)</f>
        <v>14.216334501785848</v>
      </c>
      <c r="X66" s="33"/>
      <c r="Y66" s="33"/>
      <c r="Z66" s="33"/>
      <c r="AA66" s="33"/>
      <c r="AB66" s="33"/>
      <c r="AC66" s="33"/>
      <c r="AD66" s="33"/>
      <c r="AE66" s="33"/>
    </row>
    <row r="67" spans="2:31" x14ac:dyDescent="0.25"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4" t="s">
        <v>25</v>
      </c>
      <c r="R67" s="8" t="s">
        <v>262</v>
      </c>
      <c r="S67" s="46" t="s">
        <v>52</v>
      </c>
      <c r="T67" s="46" t="s">
        <v>53</v>
      </c>
      <c r="U67" s="46" t="s">
        <v>54</v>
      </c>
      <c r="V67" s="46" t="s">
        <v>55</v>
      </c>
      <c r="W67" s="40" t="s">
        <v>235</v>
      </c>
      <c r="X67" s="33"/>
      <c r="Y67" s="33"/>
      <c r="Z67" s="33"/>
      <c r="AA67" s="33"/>
      <c r="AB67" s="33"/>
      <c r="AC67" s="33"/>
      <c r="AD67" s="33"/>
      <c r="AE67" s="33"/>
    </row>
    <row r="68" spans="2:31" x14ac:dyDescent="0.25"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9"/>
      <c r="R68" s="13" t="s">
        <v>5</v>
      </c>
      <c r="S68" s="13">
        <v>36</v>
      </c>
      <c r="T68" s="13">
        <v>20</v>
      </c>
      <c r="U68" s="13">
        <v>14</v>
      </c>
      <c r="V68" s="13">
        <v>15</v>
      </c>
      <c r="W68" s="167">
        <f>AVERAGE(S68:V68)</f>
        <v>21.25</v>
      </c>
      <c r="X68" s="33"/>
      <c r="Y68" s="33"/>
      <c r="Z68" s="33"/>
      <c r="AA68" s="33"/>
      <c r="AB68" s="33"/>
      <c r="AC68" s="33"/>
      <c r="AD68" s="33"/>
      <c r="AE68" s="33"/>
    </row>
    <row r="69" spans="2:31" x14ac:dyDescent="0.25"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65" t="s">
        <v>78</v>
      </c>
      <c r="R69" s="15" t="s">
        <v>6</v>
      </c>
      <c r="S69" s="15">
        <v>47</v>
      </c>
      <c r="T69" s="15">
        <v>42</v>
      </c>
      <c r="U69" s="15">
        <v>50</v>
      </c>
      <c r="V69" s="15">
        <v>28</v>
      </c>
      <c r="W69" s="37">
        <f>AVERAGE(S69:V69)</f>
        <v>41.75</v>
      </c>
      <c r="X69" s="33"/>
      <c r="Y69" s="33"/>
      <c r="Z69" s="33"/>
      <c r="AA69" s="33"/>
      <c r="AB69" s="33"/>
      <c r="AC69" s="33"/>
      <c r="AD69" s="33"/>
      <c r="AE69" s="33"/>
    </row>
    <row r="70" spans="2:31" x14ac:dyDescent="0.25"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6"/>
      <c r="R70" s="15" t="s">
        <v>7</v>
      </c>
      <c r="S70" s="15">
        <v>38</v>
      </c>
      <c r="T70" s="15">
        <v>40</v>
      </c>
      <c r="U70" s="15">
        <v>49</v>
      </c>
      <c r="V70" s="15">
        <v>37</v>
      </c>
      <c r="W70" s="37">
        <f>AVERAGE(S70:V70)</f>
        <v>41</v>
      </c>
      <c r="X70" s="33"/>
      <c r="Y70" s="33"/>
      <c r="Z70" s="33"/>
      <c r="AA70" s="33"/>
      <c r="AB70" s="33"/>
      <c r="AC70" s="33"/>
      <c r="AD70" s="33"/>
      <c r="AE70" s="33"/>
    </row>
    <row r="71" spans="2:31" x14ac:dyDescent="0.25"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6"/>
      <c r="R71" s="15" t="s">
        <v>8</v>
      </c>
      <c r="S71" s="15">
        <v>27</v>
      </c>
      <c r="T71" s="15">
        <v>27</v>
      </c>
      <c r="U71" s="15">
        <v>27</v>
      </c>
      <c r="V71" s="15">
        <v>20</v>
      </c>
      <c r="W71" s="37">
        <f>AVERAGE(S71:V71)</f>
        <v>25.25</v>
      </c>
      <c r="X71" s="33"/>
      <c r="Y71" s="33"/>
      <c r="Z71" s="33"/>
      <c r="AA71" s="33"/>
      <c r="AB71" s="33"/>
      <c r="AC71" s="33"/>
      <c r="AD71" s="33"/>
      <c r="AE71" s="33"/>
    </row>
    <row r="72" spans="2:31" x14ac:dyDescent="0.25"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6"/>
      <c r="R72" s="15"/>
      <c r="S72" s="15"/>
      <c r="T72" s="15"/>
      <c r="U72" s="15"/>
      <c r="V72" s="16" t="s">
        <v>56</v>
      </c>
      <c r="W72" s="17">
        <f>AVERAGE(W68:W71)</f>
        <v>32.3125</v>
      </c>
      <c r="X72" s="33"/>
      <c r="Y72" s="33"/>
      <c r="Z72" s="33"/>
      <c r="AA72" s="33"/>
      <c r="AB72" s="33"/>
      <c r="AC72" s="33"/>
      <c r="AD72" s="33"/>
      <c r="AE72" s="33"/>
    </row>
    <row r="73" spans="2:31" x14ac:dyDescent="0.25"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169"/>
      <c r="R73" s="206"/>
      <c r="S73" s="206"/>
      <c r="T73" s="206"/>
      <c r="U73" s="206"/>
      <c r="V73" s="19" t="s">
        <v>22</v>
      </c>
      <c r="W73" s="20">
        <f>_xlfn.STDEV.S(W68:W71)</f>
        <v>10.595547413890422</v>
      </c>
      <c r="X73" s="33"/>
      <c r="Y73" s="33"/>
      <c r="Z73" s="33"/>
      <c r="AA73" s="33"/>
      <c r="AB73" s="33"/>
      <c r="AC73" s="33"/>
      <c r="AD73" s="33"/>
      <c r="AE73" s="33"/>
    </row>
    <row r="74" spans="2:31" x14ac:dyDescent="0.25"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</row>
    <row r="77" spans="2:31" x14ac:dyDescent="0.25">
      <c r="Z77" s="195"/>
    </row>
    <row r="82" spans="12:127" x14ac:dyDescent="0.25">
      <c r="AW82" s="195"/>
      <c r="AX82" s="195"/>
      <c r="AY82" s="195"/>
      <c r="AZ82" s="195"/>
      <c r="BA82" s="195"/>
      <c r="BB82" s="195"/>
      <c r="BC82" s="195"/>
      <c r="BD82" s="195"/>
      <c r="BE82" s="195"/>
      <c r="BF82" s="195"/>
      <c r="BG82" s="195"/>
      <c r="BR82" s="195"/>
      <c r="CF82" s="195"/>
    </row>
    <row r="83" spans="12:127" x14ac:dyDescent="0.25">
      <c r="W83" s="195"/>
    </row>
    <row r="84" spans="12:127" x14ac:dyDescent="0.25">
      <c r="L84" s="195"/>
    </row>
    <row r="86" spans="12:127" x14ac:dyDescent="0.25">
      <c r="BR86" s="195"/>
      <c r="CW86" s="195"/>
    </row>
    <row r="89" spans="12:127" x14ac:dyDescent="0.25">
      <c r="CQ89" s="61"/>
      <c r="CR89" s="61"/>
      <c r="DO89" s="61"/>
      <c r="DP89" s="61"/>
      <c r="DQ89" s="61"/>
      <c r="DR89" s="61"/>
      <c r="DS89" s="61"/>
      <c r="DT89" s="61"/>
      <c r="DU89" s="61"/>
      <c r="DV89" s="61"/>
      <c r="DW89" s="61"/>
    </row>
    <row r="91" spans="12:127" x14ac:dyDescent="0.25">
      <c r="S91" s="193"/>
    </row>
    <row r="92" spans="12:127" x14ac:dyDescent="0.25">
      <c r="S92" s="193"/>
    </row>
    <row r="96" spans="12:127" x14ac:dyDescent="0.25">
      <c r="BD96" s="195"/>
      <c r="BE96" s="195"/>
      <c r="BF96" s="195"/>
      <c r="BG96" s="195"/>
      <c r="BR96" s="195"/>
      <c r="CF96" s="195"/>
    </row>
    <row r="97" spans="49:116" x14ac:dyDescent="0.25">
      <c r="AW97" s="195"/>
      <c r="AX97" s="195"/>
      <c r="AY97" s="195"/>
      <c r="AZ97" s="195"/>
      <c r="BA97" s="195"/>
      <c r="BB97" s="195"/>
      <c r="BC97" s="195"/>
      <c r="CX97" s="195"/>
      <c r="DL97" s="195"/>
    </row>
    <row r="109" spans="49:116" x14ac:dyDescent="0.25">
      <c r="BG109" s="195"/>
      <c r="CX109" s="195"/>
      <c r="DL109" s="195"/>
    </row>
    <row r="110" spans="49:116" x14ac:dyDescent="0.25">
      <c r="AW110" s="195"/>
      <c r="AX110" s="195"/>
      <c r="AY110" s="195"/>
      <c r="AZ110" s="195"/>
      <c r="BA110" s="195"/>
      <c r="BB110" s="195"/>
      <c r="BC110" s="195"/>
      <c r="BD110" s="195"/>
      <c r="BE110" s="195"/>
      <c r="BF110" s="195"/>
      <c r="BR110" s="195"/>
    </row>
    <row r="118" spans="19:116" x14ac:dyDescent="0.25">
      <c r="S118" s="193"/>
    </row>
    <row r="119" spans="19:116" x14ac:dyDescent="0.25">
      <c r="S119" s="193"/>
    </row>
    <row r="122" spans="19:116" x14ac:dyDescent="0.25">
      <c r="CX122" s="195"/>
      <c r="DL122" s="195"/>
    </row>
    <row r="123" spans="19:116" x14ac:dyDescent="0.25">
      <c r="AW123" s="195"/>
      <c r="AX123" s="195"/>
      <c r="AY123" s="195"/>
      <c r="AZ123" s="195"/>
      <c r="BA123" s="195"/>
      <c r="BB123" s="195"/>
      <c r="BC123" s="195"/>
      <c r="BG123" s="195"/>
    </row>
    <row r="124" spans="19:116" x14ac:dyDescent="0.25">
      <c r="BR124" s="195"/>
    </row>
    <row r="132" spans="19:116" x14ac:dyDescent="0.25">
      <c r="S132" s="193"/>
    </row>
    <row r="133" spans="19:116" x14ac:dyDescent="0.25">
      <c r="S133" s="193"/>
    </row>
    <row r="136" spans="19:116" x14ac:dyDescent="0.25">
      <c r="AW136" s="195"/>
      <c r="AX136" s="195"/>
      <c r="AY136" s="195"/>
      <c r="AZ136" s="195"/>
      <c r="BA136" s="195"/>
      <c r="BB136" s="195"/>
      <c r="BC136" s="195"/>
      <c r="CX136" s="195"/>
      <c r="DL136" s="195"/>
    </row>
    <row r="137" spans="19:116" x14ac:dyDescent="0.25">
      <c r="BG137" s="195"/>
    </row>
    <row r="138" spans="19:116" x14ac:dyDescent="0.25">
      <c r="BR138" s="195"/>
    </row>
    <row r="146" spans="19:70" x14ac:dyDescent="0.25">
      <c r="S146" s="193"/>
    </row>
    <row r="147" spans="19:70" x14ac:dyDescent="0.25">
      <c r="S147" s="193"/>
    </row>
    <row r="150" spans="19:70" x14ac:dyDescent="0.25">
      <c r="AW150" s="195"/>
      <c r="AX150" s="195"/>
      <c r="AY150" s="195"/>
      <c r="AZ150" s="195"/>
      <c r="BA150" s="195"/>
      <c r="BB150" s="195"/>
      <c r="BC150" s="195"/>
    </row>
    <row r="151" spans="19:70" x14ac:dyDescent="0.25">
      <c r="BG151" s="195"/>
    </row>
    <row r="152" spans="19:70" x14ac:dyDescent="0.25">
      <c r="BR152" s="195"/>
    </row>
    <row r="164" spans="49:70" x14ac:dyDescent="0.25">
      <c r="AW164" s="195"/>
      <c r="AX164" s="195"/>
      <c r="AY164" s="195"/>
      <c r="AZ164" s="195"/>
      <c r="BA164" s="195"/>
      <c r="BB164" s="195"/>
      <c r="BC164" s="195"/>
      <c r="BG164" s="195"/>
    </row>
    <row r="166" spans="49:70" x14ac:dyDescent="0.25">
      <c r="BR166" s="195"/>
    </row>
    <row r="177" spans="49:84" x14ac:dyDescent="0.25">
      <c r="AW177" s="195"/>
      <c r="AX177" s="195"/>
      <c r="AY177" s="195"/>
      <c r="AZ177" s="195"/>
      <c r="BA177" s="195"/>
      <c r="BB177" s="195"/>
      <c r="BC177" s="195"/>
    </row>
    <row r="178" spans="49:84" x14ac:dyDescent="0.25">
      <c r="BG178" s="195"/>
    </row>
    <row r="180" spans="49:84" x14ac:dyDescent="0.25">
      <c r="BR180" s="195"/>
      <c r="CF180" s="195"/>
    </row>
    <row r="190" spans="49:84" x14ac:dyDescent="0.25">
      <c r="AW190" s="195"/>
      <c r="AX190" s="195"/>
      <c r="AY190" s="195"/>
      <c r="AZ190" s="195"/>
      <c r="BA190" s="195"/>
      <c r="BB190" s="195"/>
      <c r="BC190" s="195"/>
    </row>
    <row r="191" spans="49:84" x14ac:dyDescent="0.25">
      <c r="BR191" s="195"/>
      <c r="CF191" s="195"/>
    </row>
    <row r="192" spans="49:84" x14ac:dyDescent="0.25">
      <c r="BG192" s="195"/>
    </row>
    <row r="203" spans="49:84" x14ac:dyDescent="0.25">
      <c r="AW203" s="195"/>
      <c r="AX203" s="195"/>
      <c r="AY203" s="195"/>
      <c r="AZ203" s="195"/>
      <c r="BA203" s="195"/>
      <c r="BB203" s="195"/>
      <c r="BC203" s="195"/>
    </row>
    <row r="204" spans="49:84" x14ac:dyDescent="0.25">
      <c r="BR204" s="195"/>
      <c r="CF204" s="195"/>
    </row>
    <row r="206" spans="49:84" x14ac:dyDescent="0.25">
      <c r="BG206" s="195"/>
    </row>
    <row r="215" spans="49:70" x14ac:dyDescent="0.25">
      <c r="BR215" s="195"/>
    </row>
    <row r="217" spans="49:70" x14ac:dyDescent="0.25">
      <c r="AW217" s="195"/>
      <c r="AX217" s="195"/>
      <c r="AY217" s="195"/>
      <c r="AZ217" s="195"/>
      <c r="BA217" s="195"/>
      <c r="BB217" s="195"/>
      <c r="BC217" s="195"/>
    </row>
    <row r="228" spans="49:70" x14ac:dyDescent="0.25">
      <c r="BR228" s="195"/>
    </row>
    <row r="230" spans="49:70" x14ac:dyDescent="0.25">
      <c r="AW230" s="195"/>
      <c r="AX230" s="195"/>
      <c r="AY230" s="195"/>
      <c r="AZ230" s="195"/>
      <c r="BA230" s="195"/>
      <c r="BB230" s="195"/>
      <c r="BC230" s="195"/>
    </row>
    <row r="242" spans="49:70" x14ac:dyDescent="0.25">
      <c r="BR242" s="195"/>
    </row>
    <row r="244" spans="49:70" x14ac:dyDescent="0.25">
      <c r="AW244" s="195"/>
      <c r="AX244" s="195"/>
      <c r="AY244" s="195"/>
      <c r="AZ244" s="195"/>
      <c r="BA244" s="195"/>
      <c r="BB244" s="195"/>
      <c r="BC244" s="195"/>
    </row>
    <row r="256" spans="49:70" x14ac:dyDescent="0.25">
      <c r="BR256" s="195"/>
    </row>
    <row r="257" spans="23:70" x14ac:dyDescent="0.25">
      <c r="AW257" s="195"/>
      <c r="AX257" s="195"/>
      <c r="AY257" s="195"/>
      <c r="AZ257" s="195"/>
      <c r="BA257" s="195"/>
      <c r="BB257" s="195"/>
      <c r="BC257" s="195"/>
    </row>
    <row r="260" spans="23:70" x14ac:dyDescent="0.25">
      <c r="W260" s="195"/>
      <c r="X260" s="195"/>
      <c r="Y260" s="195"/>
      <c r="Z260" s="195"/>
      <c r="AA260" s="195"/>
      <c r="AB260" s="195"/>
      <c r="AC260" s="195"/>
    </row>
    <row r="270" spans="23:70" x14ac:dyDescent="0.25">
      <c r="BG270" s="195"/>
      <c r="BH270" s="195"/>
      <c r="BI270" s="195"/>
      <c r="BJ270" s="195"/>
      <c r="BK270" s="195"/>
      <c r="BL270" s="195"/>
      <c r="BM270" s="195"/>
      <c r="BR270" s="195"/>
    </row>
    <row r="272" spans="23:70" x14ac:dyDescent="0.25">
      <c r="W272" s="195"/>
      <c r="X272" s="195"/>
      <c r="Y272" s="195"/>
      <c r="Z272" s="195"/>
      <c r="AA272" s="195"/>
      <c r="AB272" s="195"/>
      <c r="AC272" s="195"/>
      <c r="AW272" s="195"/>
      <c r="AX272" s="195"/>
      <c r="AY272" s="195"/>
      <c r="AZ272" s="195"/>
      <c r="BA272" s="195"/>
      <c r="BB272" s="195"/>
      <c r="BC272" s="195"/>
    </row>
    <row r="284" spans="49:70" x14ac:dyDescent="0.25">
      <c r="BR284" s="195"/>
    </row>
    <row r="285" spans="49:70" x14ac:dyDescent="0.25">
      <c r="AW285" s="195"/>
      <c r="AX285" s="195"/>
      <c r="AY285" s="195"/>
      <c r="AZ285" s="195"/>
      <c r="BA285" s="195"/>
      <c r="BB285" s="195"/>
      <c r="BC285" s="195"/>
    </row>
    <row r="298" spans="49:84" x14ac:dyDescent="0.25">
      <c r="BR298" s="195"/>
      <c r="CF298" s="195"/>
    </row>
    <row r="299" spans="49:84" x14ac:dyDescent="0.25">
      <c r="AW299" s="195"/>
      <c r="AX299" s="195"/>
      <c r="AY299" s="195"/>
      <c r="AZ299" s="195"/>
      <c r="BA299" s="195"/>
      <c r="BB299" s="195"/>
      <c r="BC299" s="195"/>
      <c r="BG299" s="195"/>
      <c r="BH299" s="195"/>
      <c r="BI299" s="195"/>
      <c r="BJ299" s="195"/>
      <c r="BK299" s="195"/>
      <c r="BL299" s="195"/>
      <c r="BM299" s="195"/>
    </row>
    <row r="312" spans="49:84" x14ac:dyDescent="0.25">
      <c r="BR312" s="195"/>
      <c r="CF312" s="195"/>
    </row>
    <row r="313" spans="49:84" x14ac:dyDescent="0.25">
      <c r="AW313" s="195"/>
      <c r="AX313" s="195"/>
      <c r="AY313" s="195"/>
      <c r="AZ313" s="195"/>
      <c r="BA313" s="195"/>
      <c r="BB313" s="195"/>
      <c r="BC313" s="195"/>
    </row>
    <row r="326" spans="49:84" x14ac:dyDescent="0.25">
      <c r="BR326" s="195"/>
      <c r="CF326" s="195"/>
    </row>
    <row r="327" spans="49:84" x14ac:dyDescent="0.25">
      <c r="AW327" s="195"/>
      <c r="AX327" s="195"/>
      <c r="AY327" s="195"/>
      <c r="AZ327" s="195"/>
      <c r="BA327" s="195"/>
      <c r="BB327" s="195"/>
      <c r="BC327" s="195"/>
    </row>
    <row r="340" spans="49:84" x14ac:dyDescent="0.25">
      <c r="BR340" s="195"/>
      <c r="CF340" s="195"/>
    </row>
    <row r="341" spans="49:84" x14ac:dyDescent="0.25">
      <c r="AW341" s="195"/>
      <c r="AX341" s="195"/>
      <c r="AY341" s="195"/>
      <c r="AZ341" s="195"/>
      <c r="BA341" s="195"/>
      <c r="BB341" s="195"/>
      <c r="BC341" s="195"/>
    </row>
    <row r="355" spans="49:84" x14ac:dyDescent="0.25">
      <c r="AW355" s="195"/>
      <c r="AX355" s="195"/>
      <c r="AY355" s="195"/>
      <c r="AZ355" s="195"/>
      <c r="BA355" s="195"/>
      <c r="BB355" s="195"/>
      <c r="BC355" s="195"/>
      <c r="BR355" s="195"/>
      <c r="CF355" s="195"/>
    </row>
    <row r="368" spans="49:84" x14ac:dyDescent="0.25">
      <c r="BR368" s="195"/>
      <c r="CF368" s="195"/>
    </row>
    <row r="372" spans="70:84" x14ac:dyDescent="0.25">
      <c r="BT372" s="193"/>
      <c r="BU372" s="193"/>
      <c r="BV372" s="193"/>
      <c r="BW372" s="193"/>
      <c r="BX372" s="193"/>
      <c r="BY372" s="193"/>
      <c r="BZ372" s="193"/>
      <c r="CA372" s="193"/>
    </row>
    <row r="373" spans="70:84" x14ac:dyDescent="0.25">
      <c r="BT373" s="193"/>
      <c r="BU373" s="193"/>
      <c r="BV373" s="193"/>
      <c r="BW373" s="193"/>
      <c r="BX373" s="193"/>
      <c r="BY373" s="193"/>
      <c r="BZ373" s="193"/>
      <c r="CA373" s="193"/>
    </row>
    <row r="374" spans="70:84" x14ac:dyDescent="0.25">
      <c r="BT374" s="193"/>
      <c r="BU374" s="193"/>
      <c r="BV374" s="193"/>
      <c r="BW374" s="193"/>
      <c r="BX374" s="193"/>
      <c r="BY374" s="193"/>
      <c r="BZ374" s="193"/>
      <c r="CA374" s="193"/>
    </row>
    <row r="375" spans="70:84" x14ac:dyDescent="0.25">
      <c r="BT375" s="193"/>
      <c r="BU375" s="193"/>
      <c r="BV375" s="193"/>
      <c r="BW375" s="193"/>
      <c r="BX375" s="193"/>
      <c r="BY375" s="193"/>
      <c r="BZ375" s="193"/>
      <c r="CA375" s="193"/>
    </row>
    <row r="382" spans="70:84" x14ac:dyDescent="0.25">
      <c r="BR382" s="195"/>
      <c r="CF382" s="195"/>
    </row>
  </sheetData>
  <pageMargins left="0.7" right="0.7" top="0.75" bottom="0.75" header="0.3" footer="0.3"/>
  <pageSetup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2:AF87"/>
  <sheetViews>
    <sheetView zoomScale="60" zoomScaleNormal="60" zoomScaleSheetLayoutView="70" workbookViewId="0"/>
  </sheetViews>
  <sheetFormatPr defaultColWidth="9.140625" defaultRowHeight="15" x14ac:dyDescent="0.25"/>
  <cols>
    <col min="1" max="1" width="2.85546875" style="33" customWidth="1"/>
    <col min="2" max="2" width="19.42578125" style="33" customWidth="1"/>
    <col min="3" max="3" width="21.7109375" style="33" customWidth="1"/>
    <col min="4" max="4" width="18.7109375" style="33" bestFit="1" customWidth="1"/>
    <col min="5" max="5" width="12" style="33" bestFit="1" customWidth="1"/>
    <col min="6" max="7" width="13" style="33" bestFit="1" customWidth="1"/>
    <col min="8" max="8" width="23.42578125" style="33" bestFit="1" customWidth="1"/>
    <col min="9" max="9" width="15.42578125" style="33" bestFit="1" customWidth="1"/>
    <col min="10" max="10" width="17" style="33" bestFit="1" customWidth="1"/>
    <col min="11" max="11" width="2.85546875" style="33" customWidth="1"/>
    <col min="12" max="12" width="20.85546875" style="33" customWidth="1"/>
    <col min="13" max="13" width="29.85546875" style="33" bestFit="1" customWidth="1"/>
    <col min="14" max="14" width="18.7109375" style="33" bestFit="1" customWidth="1"/>
    <col min="15" max="15" width="12" style="33" bestFit="1" customWidth="1"/>
    <col min="16" max="17" width="13" style="33" bestFit="1" customWidth="1"/>
    <col min="18" max="18" width="23.42578125" style="33" bestFit="1" customWidth="1"/>
    <col min="19" max="19" width="15.42578125" style="33" bestFit="1" customWidth="1"/>
    <col min="20" max="20" width="17" style="33" bestFit="1" customWidth="1"/>
    <col min="21" max="21" width="3" style="33" customWidth="1"/>
    <col min="22" max="22" width="22.28515625" style="33" customWidth="1"/>
    <col min="23" max="23" width="10.7109375" style="33" bestFit="1" customWidth="1"/>
    <col min="24" max="24" width="12.28515625" style="33" bestFit="1" customWidth="1"/>
    <col min="25" max="25" width="18.42578125" style="33" bestFit="1" customWidth="1"/>
    <col min="26" max="26" width="2.42578125" style="33" customWidth="1"/>
    <col min="27" max="27" width="15.7109375" style="33" bestFit="1" customWidth="1"/>
    <col min="28" max="28" width="10.7109375" style="33" bestFit="1" customWidth="1"/>
    <col min="29" max="29" width="12.28515625" style="33" bestFit="1" customWidth="1"/>
    <col min="30" max="30" width="18.42578125" style="33" bestFit="1" customWidth="1"/>
    <col min="31" max="32" width="9" style="33"/>
    <col min="33" max="16384" width="9.140625" style="32"/>
  </cols>
  <sheetData>
    <row r="2" spans="2:30" x14ac:dyDescent="0.25">
      <c r="B2" s="44" t="s">
        <v>213</v>
      </c>
      <c r="C2" s="32"/>
    </row>
    <row r="3" spans="2:30" ht="15.75" thickBot="1" x14ac:dyDescent="0.3">
      <c r="B3" s="2" t="s">
        <v>50</v>
      </c>
      <c r="M3" s="44"/>
      <c r="V3" s="44" t="s">
        <v>212</v>
      </c>
    </row>
    <row r="4" spans="2:30" x14ac:dyDescent="0.25">
      <c r="B4" s="156" t="s">
        <v>4</v>
      </c>
      <c r="C4" s="157" t="s">
        <v>57</v>
      </c>
      <c r="D4" s="139" t="s">
        <v>79</v>
      </c>
      <c r="E4" s="138" t="s">
        <v>80</v>
      </c>
      <c r="F4" s="138" t="s">
        <v>81</v>
      </c>
      <c r="G4" s="138" t="s">
        <v>82</v>
      </c>
      <c r="H4" s="138" t="s">
        <v>83</v>
      </c>
      <c r="I4" s="139" t="s">
        <v>235</v>
      </c>
      <c r="J4" s="158" t="s">
        <v>84</v>
      </c>
      <c r="L4" s="156" t="s">
        <v>25</v>
      </c>
      <c r="M4" s="157" t="s">
        <v>57</v>
      </c>
      <c r="N4" s="139" t="s">
        <v>79</v>
      </c>
      <c r="O4" s="138" t="s">
        <v>80</v>
      </c>
      <c r="P4" s="138" t="s">
        <v>81</v>
      </c>
      <c r="Q4" s="138" t="s">
        <v>82</v>
      </c>
      <c r="R4" s="138" t="s">
        <v>83</v>
      </c>
      <c r="S4" s="139" t="s">
        <v>235</v>
      </c>
      <c r="T4" s="158" t="s">
        <v>84</v>
      </c>
      <c r="V4" s="2" t="s">
        <v>50</v>
      </c>
    </row>
    <row r="5" spans="2:30" x14ac:dyDescent="0.25">
      <c r="B5" s="159" t="s">
        <v>210</v>
      </c>
      <c r="C5" s="15"/>
      <c r="D5" s="15" t="s">
        <v>85</v>
      </c>
      <c r="E5" s="15">
        <v>98</v>
      </c>
      <c r="F5" s="15">
        <v>86</v>
      </c>
      <c r="G5" s="15">
        <v>90</v>
      </c>
      <c r="H5" s="15">
        <v>164</v>
      </c>
      <c r="I5" s="37">
        <f>AVERAGE(E5:H5)</f>
        <v>109.5</v>
      </c>
      <c r="J5" s="260"/>
      <c r="L5" s="159" t="s">
        <v>210</v>
      </c>
      <c r="M5" s="15"/>
      <c r="N5" s="15" t="s">
        <v>85</v>
      </c>
      <c r="O5" s="15">
        <v>136</v>
      </c>
      <c r="P5" s="15">
        <v>82</v>
      </c>
      <c r="Q5" s="15">
        <v>60</v>
      </c>
      <c r="R5" s="15">
        <v>36</v>
      </c>
      <c r="S5" s="37">
        <f>AVERAGE(O5:R5)</f>
        <v>78.5</v>
      </c>
      <c r="T5" s="261"/>
      <c r="V5" s="4" t="s">
        <v>4</v>
      </c>
      <c r="W5" s="5" t="s">
        <v>86</v>
      </c>
      <c r="X5" s="5" t="s">
        <v>87</v>
      </c>
      <c r="Y5" s="6" t="s">
        <v>88</v>
      </c>
      <c r="AA5" s="4" t="s">
        <v>25</v>
      </c>
      <c r="AB5" s="5" t="s">
        <v>86</v>
      </c>
      <c r="AC5" s="5" t="s">
        <v>87</v>
      </c>
      <c r="AD5" s="6" t="s">
        <v>88</v>
      </c>
    </row>
    <row r="6" spans="2:30" x14ac:dyDescent="0.25">
      <c r="B6" s="262"/>
      <c r="C6" s="15"/>
      <c r="D6" s="15" t="s">
        <v>89</v>
      </c>
      <c r="E6" s="15">
        <v>88</v>
      </c>
      <c r="F6" s="15">
        <v>96</v>
      </c>
      <c r="G6" s="15">
        <v>94</v>
      </c>
      <c r="H6" s="15">
        <v>126</v>
      </c>
      <c r="I6" s="37">
        <f>AVERAGE(E6:H6)</f>
        <v>101</v>
      </c>
      <c r="J6" s="260">
        <f>AVERAGE(I5:I6)</f>
        <v>105.25</v>
      </c>
      <c r="L6" s="262"/>
      <c r="M6" s="15"/>
      <c r="N6" s="15" t="s">
        <v>89</v>
      </c>
      <c r="O6" s="15">
        <v>150</v>
      </c>
      <c r="P6" s="15">
        <v>122</v>
      </c>
      <c r="Q6" s="15">
        <v>36</v>
      </c>
      <c r="R6" s="15">
        <v>78</v>
      </c>
      <c r="S6" s="37">
        <f>AVERAGE(O6:R6)</f>
        <v>96.5</v>
      </c>
      <c r="T6" s="261">
        <f>AVERAGE(S5:S6)</f>
        <v>87.5</v>
      </c>
      <c r="V6" s="39"/>
      <c r="W6" s="13">
        <v>0</v>
      </c>
      <c r="X6" s="13" t="s">
        <v>90</v>
      </c>
      <c r="Y6" s="263">
        <v>105.25</v>
      </c>
      <c r="AA6" s="39"/>
      <c r="AB6" s="13">
        <v>0</v>
      </c>
      <c r="AC6" s="13" t="s">
        <v>90</v>
      </c>
      <c r="AD6" s="263">
        <v>87.5</v>
      </c>
    </row>
    <row r="7" spans="2:30" x14ac:dyDescent="0.25">
      <c r="B7" s="262"/>
      <c r="C7" s="68" t="s">
        <v>60</v>
      </c>
      <c r="D7" s="5" t="s">
        <v>79</v>
      </c>
      <c r="E7" s="46" t="s">
        <v>80</v>
      </c>
      <c r="F7" s="46" t="s">
        <v>81</v>
      </c>
      <c r="G7" s="46" t="s">
        <v>82</v>
      </c>
      <c r="H7" s="46" t="s">
        <v>83</v>
      </c>
      <c r="I7" s="5" t="s">
        <v>235</v>
      </c>
      <c r="J7" s="160" t="s">
        <v>84</v>
      </c>
      <c r="L7" s="262"/>
      <c r="M7" s="68" t="s">
        <v>60</v>
      </c>
      <c r="N7" s="5" t="s">
        <v>79</v>
      </c>
      <c r="O7" s="46" t="s">
        <v>80</v>
      </c>
      <c r="P7" s="46" t="s">
        <v>81</v>
      </c>
      <c r="Q7" s="46" t="s">
        <v>82</v>
      </c>
      <c r="R7" s="46" t="s">
        <v>83</v>
      </c>
      <c r="S7" s="5" t="s">
        <v>235</v>
      </c>
      <c r="T7" s="160" t="s">
        <v>84</v>
      </c>
      <c r="V7" s="36"/>
      <c r="W7" s="15">
        <v>1</v>
      </c>
      <c r="X7" s="15" t="s">
        <v>91</v>
      </c>
      <c r="Y7" s="205">
        <v>163.5</v>
      </c>
      <c r="AA7" s="36"/>
      <c r="AB7" s="15">
        <v>1</v>
      </c>
      <c r="AC7" s="15" t="s">
        <v>91</v>
      </c>
      <c r="AD7" s="205">
        <v>53</v>
      </c>
    </row>
    <row r="8" spans="2:30" x14ac:dyDescent="0.25">
      <c r="B8" s="262"/>
      <c r="C8" s="15"/>
      <c r="D8" s="15" t="s">
        <v>85</v>
      </c>
      <c r="E8" s="15">
        <v>216</v>
      </c>
      <c r="F8" s="15">
        <v>106</v>
      </c>
      <c r="G8" s="15">
        <v>166</v>
      </c>
      <c r="H8" s="15">
        <v>168</v>
      </c>
      <c r="I8" s="37">
        <f>AVERAGE(E8:H8)</f>
        <v>164</v>
      </c>
      <c r="J8" s="261"/>
      <c r="L8" s="262"/>
      <c r="M8" s="15"/>
      <c r="N8" s="15" t="s">
        <v>85</v>
      </c>
      <c r="O8" s="15">
        <v>30</v>
      </c>
      <c r="P8" s="15">
        <v>90</v>
      </c>
      <c r="Q8" s="15">
        <v>68</v>
      </c>
      <c r="R8" s="15">
        <v>22</v>
      </c>
      <c r="S8" s="37">
        <f>AVERAGE(O8:R8)</f>
        <v>52.5</v>
      </c>
      <c r="T8" s="261"/>
      <c r="V8" s="36"/>
      <c r="W8" s="15">
        <v>2</v>
      </c>
      <c r="X8" s="15" t="s">
        <v>92</v>
      </c>
      <c r="Y8" s="205">
        <v>134</v>
      </c>
      <c r="AA8" s="36"/>
      <c r="AB8" s="15">
        <v>2</v>
      </c>
      <c r="AC8" s="15" t="s">
        <v>92</v>
      </c>
      <c r="AD8" s="205">
        <v>65.25</v>
      </c>
    </row>
    <row r="9" spans="2:30" x14ac:dyDescent="0.25">
      <c r="B9" s="262"/>
      <c r="C9" s="15"/>
      <c r="D9" s="15" t="s">
        <v>89</v>
      </c>
      <c r="E9" s="15">
        <v>176</v>
      </c>
      <c r="F9" s="15">
        <v>146</v>
      </c>
      <c r="G9" s="15">
        <v>170</v>
      </c>
      <c r="H9" s="15">
        <v>160</v>
      </c>
      <c r="I9" s="37">
        <f>AVERAGE(E9:H9)</f>
        <v>163</v>
      </c>
      <c r="J9" s="260">
        <f>AVERAGE(I8:I9)</f>
        <v>163.5</v>
      </c>
      <c r="L9" s="262"/>
      <c r="M9" s="15"/>
      <c r="N9" s="15" t="s">
        <v>89</v>
      </c>
      <c r="O9" s="15">
        <v>42</v>
      </c>
      <c r="P9" s="15">
        <v>90</v>
      </c>
      <c r="Q9" s="15">
        <v>56</v>
      </c>
      <c r="R9" s="15">
        <v>26</v>
      </c>
      <c r="S9" s="37">
        <f>AVERAGE(O9:R9)</f>
        <v>53.5</v>
      </c>
      <c r="T9" s="261">
        <f>AVERAGE(S8:S9)</f>
        <v>53</v>
      </c>
      <c r="V9" s="36"/>
      <c r="W9" s="15">
        <v>3</v>
      </c>
      <c r="X9" s="15" t="s">
        <v>93</v>
      </c>
      <c r="Y9" s="163">
        <v>232.75</v>
      </c>
      <c r="AA9" s="36"/>
      <c r="AB9" s="15">
        <v>3</v>
      </c>
      <c r="AC9" s="15" t="s">
        <v>93</v>
      </c>
      <c r="AD9" s="205">
        <v>128.5</v>
      </c>
    </row>
    <row r="10" spans="2:30" x14ac:dyDescent="0.25">
      <c r="B10" s="262"/>
      <c r="C10" s="4" t="s">
        <v>94</v>
      </c>
      <c r="D10" s="5" t="s">
        <v>79</v>
      </c>
      <c r="E10" s="46" t="s">
        <v>80</v>
      </c>
      <c r="F10" s="46" t="s">
        <v>81</v>
      </c>
      <c r="G10" s="46" t="s">
        <v>82</v>
      </c>
      <c r="H10" s="46" t="s">
        <v>83</v>
      </c>
      <c r="I10" s="5" t="s">
        <v>235</v>
      </c>
      <c r="J10" s="160" t="s">
        <v>84</v>
      </c>
      <c r="L10" s="262"/>
      <c r="M10" s="4" t="s">
        <v>94</v>
      </c>
      <c r="N10" s="5" t="s">
        <v>79</v>
      </c>
      <c r="O10" s="46" t="s">
        <v>80</v>
      </c>
      <c r="P10" s="46" t="s">
        <v>81</v>
      </c>
      <c r="Q10" s="46" t="s">
        <v>82</v>
      </c>
      <c r="R10" s="46" t="s">
        <v>83</v>
      </c>
      <c r="S10" s="5" t="s">
        <v>235</v>
      </c>
      <c r="T10" s="160" t="s">
        <v>84</v>
      </c>
      <c r="V10" s="36"/>
      <c r="W10" s="15">
        <v>4</v>
      </c>
      <c r="X10" s="15" t="s">
        <v>95</v>
      </c>
      <c r="Y10" s="205">
        <v>135</v>
      </c>
      <c r="AA10" s="36"/>
      <c r="AB10" s="15">
        <v>4</v>
      </c>
      <c r="AC10" s="15" t="s">
        <v>95</v>
      </c>
      <c r="AD10" s="205">
        <v>43.375</v>
      </c>
    </row>
    <row r="11" spans="2:30" x14ac:dyDescent="0.25">
      <c r="B11" s="262"/>
      <c r="C11" s="15"/>
      <c r="D11" s="15" t="s">
        <v>85</v>
      </c>
      <c r="E11" s="15">
        <v>164</v>
      </c>
      <c r="F11" s="15">
        <v>104</v>
      </c>
      <c r="G11" s="15">
        <v>148</v>
      </c>
      <c r="H11" s="15">
        <v>128</v>
      </c>
      <c r="I11" s="37">
        <f>AVERAGE(E11:H11)</f>
        <v>136</v>
      </c>
      <c r="J11" s="261"/>
      <c r="L11" s="262"/>
      <c r="M11" s="15"/>
      <c r="N11" s="15" t="s">
        <v>85</v>
      </c>
      <c r="O11" s="15">
        <v>30</v>
      </c>
      <c r="P11" s="15">
        <v>90</v>
      </c>
      <c r="Q11" s="15">
        <v>68</v>
      </c>
      <c r="R11" s="15">
        <v>22</v>
      </c>
      <c r="S11" s="37">
        <f>AVERAGE(O11:R11)</f>
        <v>52.5</v>
      </c>
      <c r="T11" s="261"/>
      <c r="V11" s="36"/>
      <c r="W11" s="70">
        <v>5</v>
      </c>
      <c r="X11" s="70" t="s">
        <v>96</v>
      </c>
      <c r="Y11" s="163">
        <v>229</v>
      </c>
      <c r="AA11" s="36"/>
      <c r="AB11" s="15">
        <v>5</v>
      </c>
      <c r="AC11" s="15" t="s">
        <v>96</v>
      </c>
      <c r="AD11" s="205">
        <v>114</v>
      </c>
    </row>
    <row r="12" spans="2:30" x14ac:dyDescent="0.25">
      <c r="B12" s="262"/>
      <c r="C12" s="15"/>
      <c r="D12" s="15" t="s">
        <v>89</v>
      </c>
      <c r="E12" s="15">
        <v>144</v>
      </c>
      <c r="F12" s="15">
        <v>124</v>
      </c>
      <c r="G12" s="15">
        <v>140</v>
      </c>
      <c r="H12" s="15">
        <v>120</v>
      </c>
      <c r="I12" s="37">
        <f>AVERAGE(E12:H12)</f>
        <v>132</v>
      </c>
      <c r="J12" s="260">
        <f>AVERAGE(I11:I12)</f>
        <v>134</v>
      </c>
      <c r="L12" s="262"/>
      <c r="M12" s="15"/>
      <c r="N12" s="15" t="s">
        <v>89</v>
      </c>
      <c r="O12" s="15">
        <v>42</v>
      </c>
      <c r="P12" s="15">
        <v>44</v>
      </c>
      <c r="Q12" s="15">
        <v>150</v>
      </c>
      <c r="R12" s="15">
        <v>76</v>
      </c>
      <c r="S12" s="37">
        <f>AVERAGE(O12:R12)</f>
        <v>78</v>
      </c>
      <c r="T12" s="261">
        <f>AVERAGE(S11:S12)</f>
        <v>65.25</v>
      </c>
      <c r="V12" s="36"/>
      <c r="W12" s="15">
        <v>6</v>
      </c>
      <c r="X12" s="15" t="s">
        <v>97</v>
      </c>
      <c r="Y12" s="205">
        <v>147.5</v>
      </c>
      <c r="AA12" s="36"/>
      <c r="AB12" s="15">
        <v>6</v>
      </c>
      <c r="AC12" s="15" t="s">
        <v>97</v>
      </c>
      <c r="AD12" s="205">
        <v>109.125</v>
      </c>
    </row>
    <row r="13" spans="2:30" x14ac:dyDescent="0.25">
      <c r="B13" s="262"/>
      <c r="C13" s="4" t="s">
        <v>65</v>
      </c>
      <c r="D13" s="5" t="s">
        <v>79</v>
      </c>
      <c r="E13" s="46" t="s">
        <v>80</v>
      </c>
      <c r="F13" s="46" t="s">
        <v>81</v>
      </c>
      <c r="G13" s="46" t="s">
        <v>82</v>
      </c>
      <c r="H13" s="46" t="s">
        <v>83</v>
      </c>
      <c r="I13" s="5" t="s">
        <v>235</v>
      </c>
      <c r="J13" s="160" t="s">
        <v>84</v>
      </c>
      <c r="L13" s="262"/>
      <c r="M13" s="4" t="s">
        <v>65</v>
      </c>
      <c r="N13" s="5" t="s">
        <v>79</v>
      </c>
      <c r="O13" s="46" t="s">
        <v>80</v>
      </c>
      <c r="P13" s="46" t="s">
        <v>81</v>
      </c>
      <c r="Q13" s="46" t="s">
        <v>82</v>
      </c>
      <c r="R13" s="46" t="s">
        <v>83</v>
      </c>
      <c r="S13" s="5" t="s">
        <v>235</v>
      </c>
      <c r="T13" s="160" t="s">
        <v>84</v>
      </c>
      <c r="V13" s="36"/>
      <c r="W13" s="15">
        <v>7</v>
      </c>
      <c r="X13" s="15" t="s">
        <v>98</v>
      </c>
      <c r="Y13" s="205">
        <v>168</v>
      </c>
      <c r="AA13" s="36"/>
      <c r="AB13" s="15">
        <v>7</v>
      </c>
      <c r="AC13" s="15" t="s">
        <v>98</v>
      </c>
      <c r="AD13" s="205">
        <v>141.25</v>
      </c>
    </row>
    <row r="14" spans="2:30" x14ac:dyDescent="0.25">
      <c r="B14" s="262"/>
      <c r="C14" s="15"/>
      <c r="D14" s="15" t="s">
        <v>85</v>
      </c>
      <c r="E14" s="15">
        <v>208</v>
      </c>
      <c r="F14" s="15">
        <v>224</v>
      </c>
      <c r="G14" s="15">
        <v>200</v>
      </c>
      <c r="H14" s="15">
        <v>276</v>
      </c>
      <c r="I14" s="37">
        <f>AVERAGE(E14:H14)</f>
        <v>227</v>
      </c>
      <c r="J14" s="261"/>
      <c r="L14" s="262"/>
      <c r="M14" s="15"/>
      <c r="N14" s="15" t="s">
        <v>85</v>
      </c>
      <c r="O14" s="15">
        <v>200</v>
      </c>
      <c r="P14" s="15">
        <v>96</v>
      </c>
      <c r="Q14" s="15">
        <v>116</v>
      </c>
      <c r="R14" s="15">
        <v>100</v>
      </c>
      <c r="S14" s="37">
        <f>AVERAGE(O14:R14)</f>
        <v>128</v>
      </c>
      <c r="T14" s="261"/>
      <c r="V14" s="36"/>
      <c r="W14" s="15">
        <v>8</v>
      </c>
      <c r="X14" s="15" t="s">
        <v>99</v>
      </c>
      <c r="Y14" s="205">
        <v>142.75</v>
      </c>
      <c r="AA14" s="36"/>
      <c r="AB14" s="15">
        <v>8</v>
      </c>
      <c r="AC14" s="15" t="s">
        <v>99</v>
      </c>
      <c r="AD14" s="205">
        <v>175.875</v>
      </c>
    </row>
    <row r="15" spans="2:30" x14ac:dyDescent="0.25">
      <c r="B15" s="262"/>
      <c r="C15" s="15"/>
      <c r="D15" s="15" t="s">
        <v>89</v>
      </c>
      <c r="E15" s="15">
        <v>188</v>
      </c>
      <c r="F15" s="15">
        <v>244</v>
      </c>
      <c r="G15" s="15">
        <v>232</v>
      </c>
      <c r="H15" s="15">
        <v>290</v>
      </c>
      <c r="I15" s="37">
        <f>AVERAGE(E15:H15)</f>
        <v>238.5</v>
      </c>
      <c r="J15" s="260">
        <f>AVERAGE(I14:I15)</f>
        <v>232.75</v>
      </c>
      <c r="L15" s="262"/>
      <c r="M15" s="15"/>
      <c r="N15" s="15" t="s">
        <v>89</v>
      </c>
      <c r="O15" s="15">
        <v>192</v>
      </c>
      <c r="P15" s="15">
        <v>112</v>
      </c>
      <c r="Q15" s="15">
        <v>108</v>
      </c>
      <c r="R15" s="15">
        <v>104</v>
      </c>
      <c r="S15" s="37">
        <f>AVERAGE(O15:R15)</f>
        <v>129</v>
      </c>
      <c r="T15" s="261">
        <f>AVERAGE(S14:S15)</f>
        <v>128.5</v>
      </c>
      <c r="V15" s="36"/>
      <c r="W15" s="15">
        <v>9</v>
      </c>
      <c r="X15" s="15" t="s">
        <v>100</v>
      </c>
      <c r="Y15" s="205">
        <v>93</v>
      </c>
      <c r="AA15" s="36"/>
      <c r="AB15" s="15">
        <v>9</v>
      </c>
      <c r="AC15" s="15" t="s">
        <v>100</v>
      </c>
      <c r="AD15" s="205">
        <v>93</v>
      </c>
    </row>
    <row r="16" spans="2:30" x14ac:dyDescent="0.25">
      <c r="B16" s="262"/>
      <c r="C16" s="4" t="s">
        <v>101</v>
      </c>
      <c r="D16" s="5" t="s">
        <v>79</v>
      </c>
      <c r="E16" s="46" t="s">
        <v>80</v>
      </c>
      <c r="F16" s="46" t="s">
        <v>81</v>
      </c>
      <c r="G16" s="46" t="s">
        <v>82</v>
      </c>
      <c r="H16" s="46" t="s">
        <v>83</v>
      </c>
      <c r="I16" s="5" t="s">
        <v>235</v>
      </c>
      <c r="J16" s="160" t="s">
        <v>84</v>
      </c>
      <c r="L16" s="262"/>
      <c r="M16" s="4" t="s">
        <v>101</v>
      </c>
      <c r="N16" s="5" t="s">
        <v>79</v>
      </c>
      <c r="O16" s="46" t="s">
        <v>80</v>
      </c>
      <c r="P16" s="46" t="s">
        <v>81</v>
      </c>
      <c r="Q16" s="46" t="s">
        <v>82</v>
      </c>
      <c r="R16" s="46" t="s">
        <v>83</v>
      </c>
      <c r="S16" s="5" t="s">
        <v>235</v>
      </c>
      <c r="T16" s="160" t="s">
        <v>84</v>
      </c>
      <c r="V16" s="36"/>
      <c r="W16" s="15">
        <v>10</v>
      </c>
      <c r="X16" s="15" t="s">
        <v>102</v>
      </c>
      <c r="Y16" s="205">
        <v>94.625</v>
      </c>
      <c r="AA16" s="71"/>
      <c r="AB16" s="70">
        <v>10</v>
      </c>
      <c r="AC16" s="70" t="s">
        <v>102</v>
      </c>
      <c r="AD16" s="163">
        <v>90.0625</v>
      </c>
    </row>
    <row r="17" spans="2:30" x14ac:dyDescent="0.25">
      <c r="B17" s="262"/>
      <c r="C17" s="15"/>
      <c r="D17" s="15" t="s">
        <v>85</v>
      </c>
      <c r="E17" s="15">
        <v>132</v>
      </c>
      <c r="F17" s="15">
        <v>138</v>
      </c>
      <c r="G17" s="15">
        <v>130</v>
      </c>
      <c r="H17" s="15">
        <v>150</v>
      </c>
      <c r="I17" s="37">
        <f>AVERAGE(E17:H17)</f>
        <v>137.5</v>
      </c>
      <c r="J17" s="261"/>
      <c r="L17" s="262"/>
      <c r="M17" s="15"/>
      <c r="N17" s="15" t="s">
        <v>85</v>
      </c>
      <c r="O17" s="15">
        <v>30</v>
      </c>
      <c r="P17" s="15">
        <v>58</v>
      </c>
      <c r="Q17" s="15">
        <v>40</v>
      </c>
      <c r="R17" s="15">
        <v>38</v>
      </c>
      <c r="S17" s="37">
        <f>AVERAGE(O17:R17)</f>
        <v>41.5</v>
      </c>
      <c r="T17" s="261"/>
      <c r="V17" s="36"/>
      <c r="W17" s="15">
        <v>11</v>
      </c>
      <c r="X17" s="15" t="s">
        <v>103</v>
      </c>
      <c r="Y17" s="205">
        <v>111</v>
      </c>
      <c r="AA17" s="36"/>
      <c r="AB17" s="15">
        <v>11</v>
      </c>
      <c r="AC17" s="15" t="s">
        <v>103</v>
      </c>
      <c r="AD17" s="205">
        <v>109.25</v>
      </c>
    </row>
    <row r="18" spans="2:30" x14ac:dyDescent="0.25">
      <c r="B18" s="262"/>
      <c r="C18" s="15"/>
      <c r="D18" s="15" t="s">
        <v>89</v>
      </c>
      <c r="E18" s="15">
        <v>152</v>
      </c>
      <c r="F18" s="15">
        <v>118</v>
      </c>
      <c r="G18" s="15">
        <v>120</v>
      </c>
      <c r="H18" s="15">
        <v>140</v>
      </c>
      <c r="I18" s="37">
        <f>AVERAGE(E18:H18)</f>
        <v>132.5</v>
      </c>
      <c r="J18" s="260">
        <f>AVERAGE(I17:I18)</f>
        <v>135</v>
      </c>
      <c r="L18" s="262"/>
      <c r="M18" s="15"/>
      <c r="N18" s="15" t="s">
        <v>89</v>
      </c>
      <c r="O18" s="15">
        <v>30</v>
      </c>
      <c r="P18" s="15">
        <v>48</v>
      </c>
      <c r="Q18" s="15">
        <v>58</v>
      </c>
      <c r="R18" s="15">
        <v>45</v>
      </c>
      <c r="S18" s="37">
        <f>AVERAGE(O18:R18)</f>
        <v>45.25</v>
      </c>
      <c r="T18" s="261">
        <f>AVERAGE(S17:S18)</f>
        <v>43.375</v>
      </c>
      <c r="V18" s="36"/>
      <c r="W18" s="15">
        <v>12</v>
      </c>
      <c r="X18" s="15" t="s">
        <v>104</v>
      </c>
      <c r="Y18" s="205">
        <v>60.25</v>
      </c>
      <c r="AA18" s="36"/>
      <c r="AB18" s="15">
        <v>12</v>
      </c>
      <c r="AC18" s="15" t="s">
        <v>104</v>
      </c>
      <c r="AD18" s="205">
        <v>96</v>
      </c>
    </row>
    <row r="19" spans="2:30" x14ac:dyDescent="0.25">
      <c r="B19" s="262"/>
      <c r="C19" s="4" t="s">
        <v>66</v>
      </c>
      <c r="D19" s="5" t="s">
        <v>79</v>
      </c>
      <c r="E19" s="46" t="s">
        <v>80</v>
      </c>
      <c r="F19" s="46" t="s">
        <v>81</v>
      </c>
      <c r="G19" s="46" t="s">
        <v>82</v>
      </c>
      <c r="H19" s="46" t="s">
        <v>83</v>
      </c>
      <c r="I19" s="5" t="s">
        <v>235</v>
      </c>
      <c r="J19" s="160" t="s">
        <v>84</v>
      </c>
      <c r="L19" s="262"/>
      <c r="M19" s="4" t="s">
        <v>66</v>
      </c>
      <c r="N19" s="5" t="s">
        <v>79</v>
      </c>
      <c r="O19" s="46" t="s">
        <v>80</v>
      </c>
      <c r="P19" s="46" t="s">
        <v>81</v>
      </c>
      <c r="Q19" s="46" t="s">
        <v>82</v>
      </c>
      <c r="R19" s="46" t="s">
        <v>83</v>
      </c>
      <c r="S19" s="5" t="s">
        <v>235</v>
      </c>
      <c r="T19" s="160" t="s">
        <v>84</v>
      </c>
      <c r="V19" s="36"/>
      <c r="W19" s="15">
        <v>13</v>
      </c>
      <c r="X19" s="15" t="s">
        <v>105</v>
      </c>
      <c r="Y19" s="205">
        <v>23</v>
      </c>
      <c r="AA19" s="36"/>
      <c r="AB19" s="15">
        <v>13</v>
      </c>
      <c r="AC19" s="15" t="s">
        <v>105</v>
      </c>
      <c r="AD19" s="205">
        <v>39.5</v>
      </c>
    </row>
    <row r="20" spans="2:30" x14ac:dyDescent="0.25">
      <c r="B20" s="262"/>
      <c r="C20" s="15"/>
      <c r="D20" s="15" t="s">
        <v>85</v>
      </c>
      <c r="E20" s="15">
        <v>234</v>
      </c>
      <c r="F20" s="15">
        <v>228</v>
      </c>
      <c r="G20" s="15">
        <v>262</v>
      </c>
      <c r="H20" s="15">
        <v>200</v>
      </c>
      <c r="I20" s="37">
        <f>AVERAGE(E20:H20)</f>
        <v>231</v>
      </c>
      <c r="J20" s="261"/>
      <c r="L20" s="262"/>
      <c r="M20" s="15"/>
      <c r="N20" s="15" t="s">
        <v>85</v>
      </c>
      <c r="O20" s="15">
        <v>78</v>
      </c>
      <c r="P20" s="15">
        <v>140</v>
      </c>
      <c r="Q20" s="15">
        <v>130</v>
      </c>
      <c r="R20" s="15">
        <v>106</v>
      </c>
      <c r="S20" s="37">
        <f>AVERAGE(O20:R20)</f>
        <v>113.5</v>
      </c>
      <c r="T20" s="261"/>
      <c r="V20" s="36"/>
      <c r="W20" s="15">
        <v>14</v>
      </c>
      <c r="X20" s="15" t="s">
        <v>106</v>
      </c>
      <c r="Y20" s="205">
        <v>0</v>
      </c>
      <c r="AA20" s="36"/>
      <c r="AB20" s="15">
        <v>14</v>
      </c>
      <c r="AC20" s="15" t="s">
        <v>106</v>
      </c>
      <c r="AD20" s="205">
        <v>14</v>
      </c>
    </row>
    <row r="21" spans="2:30" x14ac:dyDescent="0.25">
      <c r="B21" s="262"/>
      <c r="C21" s="15"/>
      <c r="D21" s="15" t="s">
        <v>89</v>
      </c>
      <c r="E21" s="15">
        <v>220</v>
      </c>
      <c r="F21" s="15">
        <v>242</v>
      </c>
      <c r="G21" s="15">
        <v>238</v>
      </c>
      <c r="H21" s="15">
        <v>208</v>
      </c>
      <c r="I21" s="37">
        <f>AVERAGE(E21:H21)</f>
        <v>227</v>
      </c>
      <c r="J21" s="260">
        <f>AVERAGE(I20:I21)</f>
        <v>229</v>
      </c>
      <c r="L21" s="262"/>
      <c r="M21" s="15"/>
      <c r="N21" s="15" t="s">
        <v>89</v>
      </c>
      <c r="O21" s="15">
        <v>88</v>
      </c>
      <c r="P21" s="15">
        <v>152</v>
      </c>
      <c r="Q21" s="15">
        <v>120</v>
      </c>
      <c r="R21" s="15">
        <v>98</v>
      </c>
      <c r="S21" s="37">
        <f>AVERAGE(O21:R21)</f>
        <v>114.5</v>
      </c>
      <c r="T21" s="261">
        <f>AVERAGE(S20:S21)</f>
        <v>114</v>
      </c>
      <c r="V21" s="36"/>
      <c r="W21" s="15">
        <v>15</v>
      </c>
      <c r="X21" s="15" t="s">
        <v>107</v>
      </c>
      <c r="Y21" s="205">
        <v>11</v>
      </c>
      <c r="AA21" s="36"/>
      <c r="AB21" s="15">
        <v>15</v>
      </c>
      <c r="AC21" s="15" t="s">
        <v>107</v>
      </c>
      <c r="AD21" s="205">
        <v>24.25</v>
      </c>
    </row>
    <row r="22" spans="2:30" x14ac:dyDescent="0.25">
      <c r="B22" s="262"/>
      <c r="C22" s="4" t="s">
        <v>68</v>
      </c>
      <c r="D22" s="5" t="s">
        <v>79</v>
      </c>
      <c r="E22" s="46" t="s">
        <v>80</v>
      </c>
      <c r="F22" s="46" t="s">
        <v>81</v>
      </c>
      <c r="G22" s="46" t="s">
        <v>82</v>
      </c>
      <c r="H22" s="46" t="s">
        <v>83</v>
      </c>
      <c r="I22" s="5" t="s">
        <v>235</v>
      </c>
      <c r="J22" s="160" t="s">
        <v>84</v>
      </c>
      <c r="L22" s="262"/>
      <c r="M22" s="4" t="s">
        <v>68</v>
      </c>
      <c r="N22" s="5" t="s">
        <v>79</v>
      </c>
      <c r="O22" s="46" t="s">
        <v>80</v>
      </c>
      <c r="P22" s="46" t="s">
        <v>81</v>
      </c>
      <c r="Q22" s="46" t="s">
        <v>82</v>
      </c>
      <c r="R22" s="46" t="s">
        <v>83</v>
      </c>
      <c r="S22" s="5" t="s">
        <v>235</v>
      </c>
      <c r="T22" s="160" t="s">
        <v>84</v>
      </c>
      <c r="V22" s="36"/>
      <c r="W22" s="15">
        <v>16</v>
      </c>
      <c r="X22" s="15" t="s">
        <v>108</v>
      </c>
      <c r="Y22" s="205">
        <v>38.25</v>
      </c>
      <c r="AA22" s="36"/>
      <c r="AB22" s="15">
        <v>16</v>
      </c>
      <c r="AC22" s="15" t="s">
        <v>108</v>
      </c>
      <c r="AD22" s="205">
        <v>18.25</v>
      </c>
    </row>
    <row r="23" spans="2:30" x14ac:dyDescent="0.25">
      <c r="B23" s="262"/>
      <c r="C23" s="15"/>
      <c r="D23" s="15" t="s">
        <v>85</v>
      </c>
      <c r="E23" s="15">
        <v>204</v>
      </c>
      <c r="F23" s="15">
        <v>146</v>
      </c>
      <c r="G23" s="15">
        <v>110</v>
      </c>
      <c r="H23" s="15">
        <v>130</v>
      </c>
      <c r="I23" s="37">
        <f>AVERAGE(E23:H23)</f>
        <v>147.5</v>
      </c>
      <c r="J23" s="261"/>
      <c r="L23" s="262"/>
      <c r="M23" s="15"/>
      <c r="N23" s="15" t="s">
        <v>85</v>
      </c>
      <c r="O23" s="15">
        <v>50</v>
      </c>
      <c r="P23" s="15">
        <v>192</v>
      </c>
      <c r="Q23" s="15">
        <v>90</v>
      </c>
      <c r="R23" s="15">
        <v>88</v>
      </c>
      <c r="S23" s="37">
        <f>AVERAGE(O23:R23)</f>
        <v>105</v>
      </c>
      <c r="T23" s="261"/>
      <c r="V23" s="36"/>
      <c r="W23" s="15">
        <v>17</v>
      </c>
      <c r="X23" s="15" t="s">
        <v>109</v>
      </c>
      <c r="Y23" s="205">
        <v>38.5</v>
      </c>
      <c r="AA23" s="36"/>
      <c r="AB23" s="15">
        <v>17</v>
      </c>
      <c r="AC23" s="15" t="s">
        <v>109</v>
      </c>
      <c r="AD23" s="205">
        <v>25</v>
      </c>
    </row>
    <row r="24" spans="2:30" x14ac:dyDescent="0.25">
      <c r="B24" s="262"/>
      <c r="C24" s="15"/>
      <c r="D24" s="15" t="s">
        <v>89</v>
      </c>
      <c r="E24" s="15">
        <v>184</v>
      </c>
      <c r="F24" s="15">
        <v>166</v>
      </c>
      <c r="G24" s="15">
        <v>120</v>
      </c>
      <c r="H24" s="15">
        <v>120</v>
      </c>
      <c r="I24" s="37">
        <f>AVERAGE(E24:H24)</f>
        <v>147.5</v>
      </c>
      <c r="J24" s="260">
        <f>AVERAGE(I23:I24)</f>
        <v>147.5</v>
      </c>
      <c r="L24" s="262"/>
      <c r="M24" s="15"/>
      <c r="N24" s="15" t="s">
        <v>89</v>
      </c>
      <c r="O24" s="15">
        <v>86</v>
      </c>
      <c r="P24" s="15">
        <v>192</v>
      </c>
      <c r="Q24" s="15">
        <v>106</v>
      </c>
      <c r="R24" s="15">
        <v>69</v>
      </c>
      <c r="S24" s="37">
        <f>AVERAGE(O24:R24)</f>
        <v>113.25</v>
      </c>
      <c r="T24" s="261">
        <f>AVERAGE(S23:S24)</f>
        <v>109.125</v>
      </c>
      <c r="V24" s="36"/>
      <c r="W24" s="15">
        <v>18</v>
      </c>
      <c r="X24" s="15" t="s">
        <v>110</v>
      </c>
      <c r="Y24" s="205">
        <v>14.5</v>
      </c>
      <c r="AA24" s="36"/>
      <c r="AB24" s="15">
        <v>18</v>
      </c>
      <c r="AC24" s="15" t="s">
        <v>110</v>
      </c>
      <c r="AD24" s="205">
        <v>14</v>
      </c>
    </row>
    <row r="25" spans="2:30" x14ac:dyDescent="0.25">
      <c r="B25" s="262"/>
      <c r="C25" s="4" t="s">
        <v>72</v>
      </c>
      <c r="D25" s="5" t="s">
        <v>79</v>
      </c>
      <c r="E25" s="46" t="s">
        <v>80</v>
      </c>
      <c r="F25" s="46" t="s">
        <v>81</v>
      </c>
      <c r="G25" s="46" t="s">
        <v>82</v>
      </c>
      <c r="H25" s="46" t="s">
        <v>83</v>
      </c>
      <c r="I25" s="5" t="s">
        <v>235</v>
      </c>
      <c r="J25" s="160" t="s">
        <v>84</v>
      </c>
      <c r="L25" s="262"/>
      <c r="M25" s="4" t="s">
        <v>72</v>
      </c>
      <c r="N25" s="5" t="s">
        <v>79</v>
      </c>
      <c r="O25" s="46" t="s">
        <v>80</v>
      </c>
      <c r="P25" s="46" t="s">
        <v>81</v>
      </c>
      <c r="Q25" s="46" t="s">
        <v>82</v>
      </c>
      <c r="R25" s="46" t="s">
        <v>83</v>
      </c>
      <c r="S25" s="5" t="s">
        <v>235</v>
      </c>
      <c r="T25" s="160" t="s">
        <v>84</v>
      </c>
      <c r="V25" s="36"/>
      <c r="W25" s="15">
        <v>19</v>
      </c>
      <c r="X25" s="15" t="s">
        <v>111</v>
      </c>
      <c r="Y25" s="205">
        <v>53</v>
      </c>
      <c r="AA25" s="36"/>
      <c r="AB25" s="15">
        <v>19</v>
      </c>
      <c r="AC25" s="15" t="s">
        <v>111</v>
      </c>
      <c r="AD25" s="205">
        <v>25.5</v>
      </c>
    </row>
    <row r="26" spans="2:30" x14ac:dyDescent="0.25">
      <c r="B26" s="262"/>
      <c r="C26" s="15"/>
      <c r="D26" s="15" t="s">
        <v>85</v>
      </c>
      <c r="E26" s="15">
        <v>180</v>
      </c>
      <c r="F26" s="15">
        <v>156</v>
      </c>
      <c r="G26" s="15">
        <v>172</v>
      </c>
      <c r="H26" s="15">
        <v>164</v>
      </c>
      <c r="I26" s="37">
        <f>AVERAGE(E26:H26)</f>
        <v>168</v>
      </c>
      <c r="J26" s="261"/>
      <c r="L26" s="262"/>
      <c r="M26" s="15"/>
      <c r="N26" s="15" t="s">
        <v>85</v>
      </c>
      <c r="O26" s="15">
        <v>110</v>
      </c>
      <c r="P26" s="15">
        <v>216</v>
      </c>
      <c r="Q26" s="15">
        <v>100</v>
      </c>
      <c r="R26" s="15">
        <v>108</v>
      </c>
      <c r="S26" s="37">
        <f>AVERAGE(O26:R26)</f>
        <v>133.5</v>
      </c>
      <c r="T26" s="261"/>
      <c r="V26" s="36"/>
      <c r="W26" s="15">
        <v>20</v>
      </c>
      <c r="X26" s="15" t="s">
        <v>112</v>
      </c>
      <c r="Y26" s="205">
        <v>38.75</v>
      </c>
      <c r="AA26" s="36"/>
      <c r="AB26" s="15">
        <v>20</v>
      </c>
      <c r="AC26" s="15" t="s">
        <v>112</v>
      </c>
      <c r="AD26" s="205">
        <v>14.75</v>
      </c>
    </row>
    <row r="27" spans="2:30" x14ac:dyDescent="0.25">
      <c r="B27" s="262"/>
      <c r="C27" s="15"/>
      <c r="D27" s="15" t="s">
        <v>89</v>
      </c>
      <c r="E27" s="15">
        <v>170</v>
      </c>
      <c r="F27" s="15">
        <v>166</v>
      </c>
      <c r="G27" s="15">
        <v>176</v>
      </c>
      <c r="H27" s="15">
        <v>160</v>
      </c>
      <c r="I27" s="37">
        <f>AVERAGE(E27:H27)</f>
        <v>168</v>
      </c>
      <c r="J27" s="260">
        <f>AVERAGE(I26:I27)</f>
        <v>168</v>
      </c>
      <c r="L27" s="262"/>
      <c r="M27" s="15"/>
      <c r="N27" s="15" t="s">
        <v>89</v>
      </c>
      <c r="O27" s="15">
        <v>100</v>
      </c>
      <c r="P27" s="15">
        <v>216</v>
      </c>
      <c r="Q27" s="15">
        <v>130</v>
      </c>
      <c r="R27" s="15">
        <v>150</v>
      </c>
      <c r="S27" s="37">
        <f>AVERAGE(O27:R27)</f>
        <v>149</v>
      </c>
      <c r="T27" s="261">
        <f>AVERAGE(S26:S27)</f>
        <v>141.25</v>
      </c>
      <c r="V27" s="36"/>
      <c r="W27" s="70">
        <v>21</v>
      </c>
      <c r="X27" s="70" t="s">
        <v>113</v>
      </c>
      <c r="Y27" s="163">
        <v>26.25</v>
      </c>
      <c r="AA27" s="36"/>
      <c r="AB27" s="70">
        <v>21</v>
      </c>
      <c r="AC27" s="70" t="s">
        <v>113</v>
      </c>
      <c r="AD27" s="163">
        <v>14</v>
      </c>
    </row>
    <row r="28" spans="2:30" x14ac:dyDescent="0.25">
      <c r="B28" s="262"/>
      <c r="C28" s="4" t="s">
        <v>70</v>
      </c>
      <c r="D28" s="5" t="s">
        <v>79</v>
      </c>
      <c r="E28" s="46" t="s">
        <v>80</v>
      </c>
      <c r="F28" s="46" t="s">
        <v>81</v>
      </c>
      <c r="G28" s="46" t="s">
        <v>82</v>
      </c>
      <c r="H28" s="46" t="s">
        <v>83</v>
      </c>
      <c r="I28" s="5" t="s">
        <v>235</v>
      </c>
      <c r="J28" s="160" t="s">
        <v>84</v>
      </c>
      <c r="L28" s="262"/>
      <c r="M28" s="4" t="s">
        <v>70</v>
      </c>
      <c r="N28" s="5" t="s">
        <v>79</v>
      </c>
      <c r="O28" s="46" t="s">
        <v>80</v>
      </c>
      <c r="P28" s="46" t="s">
        <v>81</v>
      </c>
      <c r="Q28" s="46" t="s">
        <v>82</v>
      </c>
      <c r="R28" s="46" t="s">
        <v>83</v>
      </c>
      <c r="S28" s="5" t="s">
        <v>235</v>
      </c>
      <c r="T28" s="160" t="s">
        <v>84</v>
      </c>
      <c r="V28" s="36"/>
      <c r="W28" s="15">
        <v>22</v>
      </c>
      <c r="X28" s="15" t="s">
        <v>114</v>
      </c>
      <c r="Y28" s="205">
        <v>106</v>
      </c>
      <c r="AA28" s="36"/>
      <c r="AB28" s="15">
        <v>22</v>
      </c>
      <c r="AC28" s="15" t="s">
        <v>114</v>
      </c>
      <c r="AD28" s="205">
        <v>42.25</v>
      </c>
    </row>
    <row r="29" spans="2:30" x14ac:dyDescent="0.25">
      <c r="B29" s="262"/>
      <c r="C29" s="15"/>
      <c r="D29" s="15" t="s">
        <v>85</v>
      </c>
      <c r="E29" s="15">
        <v>162</v>
      </c>
      <c r="F29" s="15">
        <v>200</v>
      </c>
      <c r="G29" s="15">
        <v>150</v>
      </c>
      <c r="H29" s="15">
        <v>62</v>
      </c>
      <c r="I29" s="37">
        <f>AVERAGE(E29:H29)</f>
        <v>143.5</v>
      </c>
      <c r="J29" s="261"/>
      <c r="L29" s="262"/>
      <c r="M29" s="15"/>
      <c r="N29" s="15" t="s">
        <v>85</v>
      </c>
      <c r="O29" s="15">
        <v>200</v>
      </c>
      <c r="P29" s="15">
        <v>172</v>
      </c>
      <c r="Q29" s="15">
        <v>156</v>
      </c>
      <c r="R29" s="15">
        <v>167</v>
      </c>
      <c r="S29" s="37">
        <f>AVERAGE(O29:R29)</f>
        <v>173.75</v>
      </c>
      <c r="T29" s="261"/>
      <c r="V29" s="169"/>
      <c r="W29" s="206">
        <v>23</v>
      </c>
      <c r="X29" s="206" t="s">
        <v>115</v>
      </c>
      <c r="Y29" s="240">
        <v>139.75</v>
      </c>
      <c r="AA29" s="169"/>
      <c r="AB29" s="206">
        <v>23</v>
      </c>
      <c r="AC29" s="206" t="s">
        <v>115</v>
      </c>
      <c r="AD29" s="240">
        <v>89.25</v>
      </c>
    </row>
    <row r="30" spans="2:30" x14ac:dyDescent="0.25">
      <c r="B30" s="262"/>
      <c r="C30" s="15"/>
      <c r="D30" s="15" t="s">
        <v>89</v>
      </c>
      <c r="E30" s="15">
        <v>182</v>
      </c>
      <c r="F30" s="15">
        <v>180</v>
      </c>
      <c r="G30" s="15">
        <v>150</v>
      </c>
      <c r="H30" s="15">
        <v>56</v>
      </c>
      <c r="I30" s="37">
        <f>AVERAGE(E30:H30)</f>
        <v>142</v>
      </c>
      <c r="J30" s="260">
        <f>AVERAGE(I29:I30)</f>
        <v>142.75</v>
      </c>
      <c r="L30" s="262"/>
      <c r="M30" s="15"/>
      <c r="N30" s="15" t="s">
        <v>89</v>
      </c>
      <c r="O30" s="15">
        <v>240</v>
      </c>
      <c r="P30" s="15">
        <v>192</v>
      </c>
      <c r="Q30" s="15">
        <v>140</v>
      </c>
      <c r="R30" s="15">
        <v>140</v>
      </c>
      <c r="S30" s="37">
        <f>AVERAGE(O30:R30)</f>
        <v>178</v>
      </c>
      <c r="T30" s="261">
        <f>AVERAGE(S29:S30)</f>
        <v>175.875</v>
      </c>
    </row>
    <row r="31" spans="2:30" x14ac:dyDescent="0.25">
      <c r="B31" s="262"/>
      <c r="C31" s="4" t="s">
        <v>75</v>
      </c>
      <c r="D31" s="5" t="s">
        <v>79</v>
      </c>
      <c r="E31" s="46" t="s">
        <v>80</v>
      </c>
      <c r="F31" s="46" t="s">
        <v>81</v>
      </c>
      <c r="G31" s="46" t="s">
        <v>82</v>
      </c>
      <c r="H31" s="46" t="s">
        <v>83</v>
      </c>
      <c r="I31" s="5" t="s">
        <v>235</v>
      </c>
      <c r="J31" s="160" t="s">
        <v>84</v>
      </c>
      <c r="L31" s="262"/>
      <c r="M31" s="4" t="s">
        <v>75</v>
      </c>
      <c r="N31" s="5" t="s">
        <v>79</v>
      </c>
      <c r="O31" s="46" t="s">
        <v>80</v>
      </c>
      <c r="P31" s="46" t="s">
        <v>81</v>
      </c>
      <c r="Q31" s="46" t="s">
        <v>82</v>
      </c>
      <c r="R31" s="46" t="s">
        <v>83</v>
      </c>
      <c r="S31" s="5" t="s">
        <v>235</v>
      </c>
      <c r="T31" s="160" t="s">
        <v>84</v>
      </c>
    </row>
    <row r="32" spans="2:30" x14ac:dyDescent="0.25">
      <c r="B32" s="262"/>
      <c r="C32" s="15"/>
      <c r="D32" s="15" t="s">
        <v>85</v>
      </c>
      <c r="E32" s="15">
        <v>86</v>
      </c>
      <c r="F32" s="15">
        <v>84</v>
      </c>
      <c r="G32" s="15">
        <v>90</v>
      </c>
      <c r="H32" s="15">
        <v>94</v>
      </c>
      <c r="I32" s="37">
        <f>AVERAGE(E32:H32)</f>
        <v>88.5</v>
      </c>
      <c r="J32" s="261"/>
      <c r="L32" s="262"/>
      <c r="M32" s="15"/>
      <c r="N32" s="15" t="s">
        <v>85</v>
      </c>
      <c r="O32" s="15">
        <v>108</v>
      </c>
      <c r="P32" s="15">
        <v>86</v>
      </c>
      <c r="Q32" s="15">
        <v>94</v>
      </c>
      <c r="R32" s="15">
        <v>68</v>
      </c>
      <c r="S32" s="37">
        <f>AVERAGE(O32:R32)</f>
        <v>89</v>
      </c>
      <c r="T32" s="261"/>
    </row>
    <row r="33" spans="2:20" x14ac:dyDescent="0.25">
      <c r="B33" s="262"/>
      <c r="C33" s="15"/>
      <c r="D33" s="15" t="s">
        <v>89</v>
      </c>
      <c r="E33" s="15">
        <v>80</v>
      </c>
      <c r="F33" s="15">
        <v>110</v>
      </c>
      <c r="G33" s="15">
        <v>120</v>
      </c>
      <c r="H33" s="15">
        <v>80</v>
      </c>
      <c r="I33" s="37">
        <f>AVERAGE(E33:H33)</f>
        <v>97.5</v>
      </c>
      <c r="J33" s="260">
        <f>AVERAGE(I32:I33)</f>
        <v>93</v>
      </c>
      <c r="L33" s="262"/>
      <c r="M33" s="15"/>
      <c r="N33" s="15" t="s">
        <v>89</v>
      </c>
      <c r="O33" s="15">
        <v>88</v>
      </c>
      <c r="P33" s="15">
        <v>106</v>
      </c>
      <c r="Q33" s="15">
        <v>100</v>
      </c>
      <c r="R33" s="15">
        <v>94</v>
      </c>
      <c r="S33" s="37">
        <f>AVERAGE(O33:R33)</f>
        <v>97</v>
      </c>
      <c r="T33" s="261">
        <f>AVERAGE(S32:S33)</f>
        <v>93</v>
      </c>
    </row>
    <row r="34" spans="2:20" x14ac:dyDescent="0.25">
      <c r="B34" s="262"/>
      <c r="C34" s="4" t="s">
        <v>73</v>
      </c>
      <c r="D34" s="5" t="s">
        <v>79</v>
      </c>
      <c r="E34" s="46" t="s">
        <v>80</v>
      </c>
      <c r="F34" s="46" t="s">
        <v>81</v>
      </c>
      <c r="G34" s="46" t="s">
        <v>82</v>
      </c>
      <c r="H34" s="46" t="s">
        <v>83</v>
      </c>
      <c r="I34" s="5" t="s">
        <v>235</v>
      </c>
      <c r="J34" s="160" t="s">
        <v>84</v>
      </c>
      <c r="L34" s="262"/>
      <c r="M34" s="4" t="s">
        <v>73</v>
      </c>
      <c r="N34" s="5" t="s">
        <v>79</v>
      </c>
      <c r="O34" s="46" t="s">
        <v>80</v>
      </c>
      <c r="P34" s="46" t="s">
        <v>81</v>
      </c>
      <c r="Q34" s="46" t="s">
        <v>82</v>
      </c>
      <c r="R34" s="46" t="s">
        <v>83</v>
      </c>
      <c r="S34" s="5" t="s">
        <v>235</v>
      </c>
      <c r="T34" s="160" t="s">
        <v>84</v>
      </c>
    </row>
    <row r="35" spans="2:20" x14ac:dyDescent="0.25">
      <c r="B35" s="262"/>
      <c r="C35" s="15"/>
      <c r="D35" s="15" t="s">
        <v>85</v>
      </c>
      <c r="E35" s="15">
        <v>114</v>
      </c>
      <c r="F35" s="15">
        <v>122</v>
      </c>
      <c r="G35" s="15">
        <v>98</v>
      </c>
      <c r="H35" s="15">
        <v>86</v>
      </c>
      <c r="I35" s="37">
        <f>AVERAGE(E35:H35)</f>
        <v>105</v>
      </c>
      <c r="J35" s="261"/>
      <c r="L35" s="262"/>
      <c r="M35" s="15"/>
      <c r="N35" s="15" t="s">
        <v>85</v>
      </c>
      <c r="O35" s="15">
        <v>172</v>
      </c>
      <c r="P35" s="15">
        <v>210</v>
      </c>
      <c r="Q35" s="15">
        <v>0</v>
      </c>
      <c r="R35" s="15">
        <v>0</v>
      </c>
      <c r="S35" s="37">
        <f>AVERAGE(O35:R35)</f>
        <v>95.5</v>
      </c>
      <c r="T35" s="261"/>
    </row>
    <row r="36" spans="2:20" x14ac:dyDescent="0.25">
      <c r="B36" s="262"/>
      <c r="C36" s="15"/>
      <c r="D36" s="15" t="s">
        <v>89</v>
      </c>
      <c r="E36" s="15">
        <v>110</v>
      </c>
      <c r="F36" s="15">
        <v>66</v>
      </c>
      <c r="G36" s="15">
        <v>76</v>
      </c>
      <c r="H36" s="15">
        <v>85</v>
      </c>
      <c r="I36" s="37">
        <f>AVERAGE(E36:H36)</f>
        <v>84.25</v>
      </c>
      <c r="J36" s="260">
        <f>AVERAGE(I35:I36)</f>
        <v>94.625</v>
      </c>
      <c r="L36" s="262"/>
      <c r="M36" s="15"/>
      <c r="N36" s="15" t="s">
        <v>89</v>
      </c>
      <c r="O36" s="15">
        <v>170</v>
      </c>
      <c r="P36" s="15">
        <v>168.5</v>
      </c>
      <c r="Q36" s="15">
        <v>0</v>
      </c>
      <c r="R36" s="15">
        <v>0</v>
      </c>
      <c r="S36" s="37">
        <f>AVERAGE(O36:R36)</f>
        <v>84.625</v>
      </c>
      <c r="T36" s="161">
        <f>AVERAGE(S35:S36)</f>
        <v>90.0625</v>
      </c>
    </row>
    <row r="37" spans="2:20" x14ac:dyDescent="0.25">
      <c r="B37" s="262"/>
      <c r="C37" s="4" t="s">
        <v>116</v>
      </c>
      <c r="D37" s="5" t="s">
        <v>79</v>
      </c>
      <c r="E37" s="46" t="s">
        <v>80</v>
      </c>
      <c r="F37" s="46" t="s">
        <v>81</v>
      </c>
      <c r="G37" s="46" t="s">
        <v>82</v>
      </c>
      <c r="H37" s="46" t="s">
        <v>83</v>
      </c>
      <c r="I37" s="5" t="s">
        <v>235</v>
      </c>
      <c r="J37" s="160" t="s">
        <v>84</v>
      </c>
      <c r="L37" s="262"/>
      <c r="M37" s="4" t="s">
        <v>116</v>
      </c>
      <c r="N37" s="5" t="s">
        <v>79</v>
      </c>
      <c r="O37" s="46" t="s">
        <v>80</v>
      </c>
      <c r="P37" s="46" t="s">
        <v>81</v>
      </c>
      <c r="Q37" s="46" t="s">
        <v>82</v>
      </c>
      <c r="R37" s="46" t="s">
        <v>83</v>
      </c>
      <c r="S37" s="5" t="s">
        <v>235</v>
      </c>
      <c r="T37" s="160" t="s">
        <v>84</v>
      </c>
    </row>
    <row r="38" spans="2:20" x14ac:dyDescent="0.25">
      <c r="B38" s="262"/>
      <c r="C38" s="15"/>
      <c r="D38" s="15" t="s">
        <v>85</v>
      </c>
      <c r="E38" s="15">
        <v>100</v>
      </c>
      <c r="F38" s="15">
        <v>136</v>
      </c>
      <c r="G38" s="15">
        <v>86</v>
      </c>
      <c r="H38" s="15">
        <v>110</v>
      </c>
      <c r="I38" s="37">
        <f>AVERAGE(E38:H38)</f>
        <v>108</v>
      </c>
      <c r="J38" s="264"/>
      <c r="L38" s="262"/>
      <c r="M38" s="15"/>
      <c r="N38" s="15" t="s">
        <v>85</v>
      </c>
      <c r="O38" s="15">
        <v>106</v>
      </c>
      <c r="P38" s="15">
        <v>126</v>
      </c>
      <c r="Q38" s="15">
        <v>100</v>
      </c>
      <c r="R38" s="15">
        <v>120</v>
      </c>
      <c r="S38" s="167">
        <f>AVERAGE(O38:R38)</f>
        <v>113</v>
      </c>
      <c r="T38" s="260"/>
    </row>
    <row r="39" spans="2:20" x14ac:dyDescent="0.25">
      <c r="B39" s="262"/>
      <c r="C39" s="15"/>
      <c r="D39" s="206" t="s">
        <v>89</v>
      </c>
      <c r="E39" s="206">
        <v>112</v>
      </c>
      <c r="F39" s="206">
        <v>120</v>
      </c>
      <c r="G39" s="206">
        <v>102</v>
      </c>
      <c r="H39" s="206">
        <v>122</v>
      </c>
      <c r="I39" s="265">
        <f>AVERAGE(E39:H39)</f>
        <v>114</v>
      </c>
      <c r="J39" s="266">
        <f>AVERAGE(I38:I39)</f>
        <v>111</v>
      </c>
      <c r="L39" s="262"/>
      <c r="M39" s="15"/>
      <c r="N39" s="206" t="s">
        <v>89</v>
      </c>
      <c r="O39" s="206">
        <v>98</v>
      </c>
      <c r="P39" s="206">
        <v>126</v>
      </c>
      <c r="Q39" s="206">
        <v>108</v>
      </c>
      <c r="R39" s="206">
        <v>90</v>
      </c>
      <c r="S39" s="265">
        <f>AVERAGE(O39:R39)</f>
        <v>105.5</v>
      </c>
      <c r="T39" s="267">
        <f>AVERAGE(S38:S39)</f>
        <v>109.25</v>
      </c>
    </row>
    <row r="40" spans="2:20" x14ac:dyDescent="0.25">
      <c r="B40" s="262"/>
      <c r="C40" s="15"/>
      <c r="D40" s="13"/>
      <c r="E40" s="4" t="s">
        <v>117</v>
      </c>
      <c r="F40" s="5" t="s">
        <v>118</v>
      </c>
      <c r="G40" s="5" t="s">
        <v>119</v>
      </c>
      <c r="H40" s="40" t="s">
        <v>120</v>
      </c>
      <c r="I40" s="73"/>
      <c r="J40" s="268"/>
      <c r="L40" s="262"/>
      <c r="M40" s="15"/>
      <c r="N40" s="15"/>
      <c r="O40" s="41" t="s">
        <v>117</v>
      </c>
      <c r="P40" s="75" t="s">
        <v>118</v>
      </c>
      <c r="Q40" s="75" t="s">
        <v>119</v>
      </c>
      <c r="R40" s="42" t="s">
        <v>120</v>
      </c>
      <c r="S40" s="16"/>
      <c r="T40" s="260"/>
    </row>
    <row r="41" spans="2:20" x14ac:dyDescent="0.25">
      <c r="B41" s="262"/>
      <c r="C41" s="15"/>
      <c r="D41" s="15"/>
      <c r="E41" s="15">
        <f>SUM(E38:E39,E35:E36,E32:E33,E29:E30,E26:E27,E23:E24,E20:E21,E17:E18,E14:E15,E11:E12,E8:E9,E5:E6)</f>
        <v>3704</v>
      </c>
      <c r="F41" s="15">
        <f>SUM(F38:F39,F35:F36,F32:F33,F29:F30,F26:F27,F23:F24,F20:F21,F17:F18,F14:F15,F11:F12,F8:F9,F5:F6)</f>
        <v>3508</v>
      </c>
      <c r="G41" s="15">
        <f>SUM(G38:G39,G35:G36,G32:G33,G29:G30,G26:G27,G23:G24,G20:G21,G17:G18,G14:G15,G11:G12,G8:G9,G5:G6)</f>
        <v>3440</v>
      </c>
      <c r="H41" s="234">
        <f>SUM(H38:H39,H35:H36,H32:H33,H29:H30,H26:H27,H23:H24,H20:H21,H17:H18,H14:H15,H11:H12,H8:H9,H5:H6)</f>
        <v>3399</v>
      </c>
      <c r="I41" s="15"/>
      <c r="J41" s="260"/>
      <c r="L41" s="262"/>
      <c r="M41" s="15"/>
      <c r="N41" s="15"/>
      <c r="O41" s="15">
        <f>SUM(O38:O39,O35:O36,O32:O33,O29:O30,O26:O27,O23:O24,O20:O21,O17:O18,O14:O15,O11:O12,O8:O9,O5:O6)</f>
        <v>2576</v>
      </c>
      <c r="P41" s="15">
        <f>SUM(P38:P39,P35:P36,P32:P33,P29:P30,P26:P27,P23:P24,P20:P21,P17:P18,P14:P15,P11:P12,P8:P9,P5:P6)</f>
        <v>3126.5</v>
      </c>
      <c r="Q41" s="15">
        <f>SUM(Q38:Q39,Q35:Q36,Q32:Q33,Q29:Q30,Q26:Q27,Q23:Q24,Q20:Q21,Q17:Q18,Q14:Q15,Q11:Q12,Q8:Q9,Q5:Q6)</f>
        <v>2134</v>
      </c>
      <c r="R41" s="234">
        <f>SUM(R38:R39,R35:R36,R32:R33,R29:R30,R26:R27,R23:R24,R20:R21,R17:R18,R14:R15,R11:R12,R8:R9,R5:R6)</f>
        <v>1845</v>
      </c>
      <c r="S41" s="15"/>
      <c r="T41" s="260"/>
    </row>
    <row r="42" spans="2:20" x14ac:dyDescent="0.25">
      <c r="B42" s="262"/>
      <c r="C42" s="15"/>
      <c r="D42" s="15"/>
      <c r="E42" s="15"/>
      <c r="F42" s="15"/>
      <c r="G42" s="15"/>
      <c r="H42" s="74" t="s">
        <v>246</v>
      </c>
      <c r="I42" s="55">
        <f>AVERAGE(E41:H41)</f>
        <v>3512.75</v>
      </c>
      <c r="J42" s="260"/>
      <c r="K42" s="234"/>
      <c r="L42" s="262"/>
      <c r="M42" s="15"/>
      <c r="N42" s="15"/>
      <c r="O42" s="15"/>
      <c r="P42" s="15"/>
      <c r="Q42" s="15"/>
      <c r="R42" s="74" t="s">
        <v>246</v>
      </c>
      <c r="S42" s="55">
        <f>AVERAGE(O41:R41)</f>
        <v>2420.375</v>
      </c>
      <c r="T42" s="260"/>
    </row>
    <row r="43" spans="2:20" ht="15.75" thickBot="1" x14ac:dyDescent="0.3">
      <c r="B43" s="262"/>
      <c r="C43" s="15"/>
      <c r="D43" s="15"/>
      <c r="E43" s="15"/>
      <c r="F43" s="15"/>
      <c r="G43" s="15"/>
      <c r="H43" s="74" t="s">
        <v>22</v>
      </c>
      <c r="I43" s="55">
        <f>_xlfn.STDEV.S(E41:H41)</f>
        <v>135.19214720784143</v>
      </c>
      <c r="J43" s="260"/>
      <c r="K43" s="234"/>
      <c r="L43" s="262"/>
      <c r="M43" s="15"/>
      <c r="N43" s="15"/>
      <c r="O43" s="15"/>
      <c r="P43" s="15"/>
      <c r="Q43" s="15"/>
      <c r="R43" s="74" t="s">
        <v>22</v>
      </c>
      <c r="S43" s="55">
        <f>_xlfn.STDEV.S(O41:R41)</f>
        <v>558.53937118762428</v>
      </c>
      <c r="T43" s="260"/>
    </row>
    <row r="44" spans="2:20" x14ac:dyDescent="0.25">
      <c r="B44" s="156" t="s">
        <v>4</v>
      </c>
      <c r="C44" s="157" t="s">
        <v>121</v>
      </c>
      <c r="D44" s="139" t="s">
        <v>79</v>
      </c>
      <c r="E44" s="138" t="s">
        <v>80</v>
      </c>
      <c r="F44" s="138" t="s">
        <v>81</v>
      </c>
      <c r="G44" s="138" t="s">
        <v>82</v>
      </c>
      <c r="H44" s="138" t="s">
        <v>83</v>
      </c>
      <c r="I44" s="139" t="s">
        <v>235</v>
      </c>
      <c r="J44" s="158" t="s">
        <v>84</v>
      </c>
      <c r="L44" s="156" t="s">
        <v>25</v>
      </c>
      <c r="M44" s="157" t="s">
        <v>121</v>
      </c>
      <c r="N44" s="139" t="s">
        <v>79</v>
      </c>
      <c r="O44" s="138" t="s">
        <v>80</v>
      </c>
      <c r="P44" s="138" t="s">
        <v>81</v>
      </c>
      <c r="Q44" s="138" t="s">
        <v>82</v>
      </c>
      <c r="R44" s="138" t="s">
        <v>83</v>
      </c>
      <c r="S44" s="139" t="s">
        <v>235</v>
      </c>
      <c r="T44" s="158" t="s">
        <v>84</v>
      </c>
    </row>
    <row r="45" spans="2:20" x14ac:dyDescent="0.25">
      <c r="B45" s="159" t="s">
        <v>211</v>
      </c>
      <c r="C45" s="15"/>
      <c r="D45" s="15" t="s">
        <v>85</v>
      </c>
      <c r="E45" s="15">
        <v>48</v>
      </c>
      <c r="F45" s="15">
        <v>60</v>
      </c>
      <c r="G45" s="15">
        <v>56</v>
      </c>
      <c r="H45" s="15">
        <v>76</v>
      </c>
      <c r="I45" s="37">
        <f>AVERAGE(E45:H45)</f>
        <v>60</v>
      </c>
      <c r="J45" s="261"/>
      <c r="L45" s="159" t="s">
        <v>211</v>
      </c>
      <c r="M45" s="15"/>
      <c r="N45" s="15" t="s">
        <v>85</v>
      </c>
      <c r="O45" s="15">
        <v>118</v>
      </c>
      <c r="P45" s="15">
        <v>112</v>
      </c>
      <c r="Q45" s="15">
        <v>92</v>
      </c>
      <c r="R45" s="15">
        <v>100</v>
      </c>
      <c r="S45" s="37">
        <f>AVERAGE(O45:R45)</f>
        <v>105.5</v>
      </c>
      <c r="T45" s="260"/>
    </row>
    <row r="46" spans="2:20" x14ac:dyDescent="0.25">
      <c r="B46" s="262"/>
      <c r="C46" s="15"/>
      <c r="D46" s="15" t="s">
        <v>89</v>
      </c>
      <c r="E46" s="15">
        <v>54</v>
      </c>
      <c r="F46" s="15">
        <v>54</v>
      </c>
      <c r="G46" s="15">
        <v>56</v>
      </c>
      <c r="H46" s="15">
        <v>78</v>
      </c>
      <c r="I46" s="37">
        <f>AVERAGE(E46:H46)</f>
        <v>60.5</v>
      </c>
      <c r="J46" s="261">
        <f>AVERAGE(I45:I46)</f>
        <v>60.25</v>
      </c>
      <c r="L46" s="262"/>
      <c r="M46" s="15"/>
      <c r="N46" s="15" t="s">
        <v>89</v>
      </c>
      <c r="O46" s="15">
        <v>98</v>
      </c>
      <c r="P46" s="15">
        <v>100</v>
      </c>
      <c r="Q46" s="15">
        <v>74</v>
      </c>
      <c r="R46" s="15">
        <v>74</v>
      </c>
      <c r="S46" s="37">
        <f>AVERAGE(O46:R46)</f>
        <v>86.5</v>
      </c>
      <c r="T46" s="261">
        <f>AVERAGE(S45:S46)</f>
        <v>96</v>
      </c>
    </row>
    <row r="47" spans="2:20" x14ac:dyDescent="0.25">
      <c r="B47" s="262"/>
      <c r="C47" s="68" t="s">
        <v>122</v>
      </c>
      <c r="D47" s="5" t="s">
        <v>79</v>
      </c>
      <c r="E47" s="46" t="s">
        <v>80</v>
      </c>
      <c r="F47" s="46" t="s">
        <v>81</v>
      </c>
      <c r="G47" s="46" t="s">
        <v>82</v>
      </c>
      <c r="H47" s="46" t="s">
        <v>83</v>
      </c>
      <c r="I47" s="5" t="s">
        <v>235</v>
      </c>
      <c r="J47" s="160" t="s">
        <v>84</v>
      </c>
      <c r="L47" s="262"/>
      <c r="M47" s="68" t="s">
        <v>122</v>
      </c>
      <c r="N47" s="5" t="s">
        <v>79</v>
      </c>
      <c r="O47" s="46" t="s">
        <v>80</v>
      </c>
      <c r="P47" s="46" t="s">
        <v>81</v>
      </c>
      <c r="Q47" s="46" t="s">
        <v>82</v>
      </c>
      <c r="R47" s="46" t="s">
        <v>83</v>
      </c>
      <c r="S47" s="5" t="s">
        <v>235</v>
      </c>
      <c r="T47" s="160" t="s">
        <v>84</v>
      </c>
    </row>
    <row r="48" spans="2:20" x14ac:dyDescent="0.25">
      <c r="B48" s="262"/>
      <c r="C48" s="15"/>
      <c r="D48" s="15" t="s">
        <v>85</v>
      </c>
      <c r="E48" s="15">
        <v>18</v>
      </c>
      <c r="F48" s="15">
        <v>38</v>
      </c>
      <c r="G48" s="15">
        <v>16</v>
      </c>
      <c r="H48" s="15">
        <v>30</v>
      </c>
      <c r="I48" s="37">
        <f>AVERAGE(E48:H48)</f>
        <v>25.5</v>
      </c>
      <c r="J48" s="261"/>
      <c r="L48" s="262"/>
      <c r="M48" s="15"/>
      <c r="N48" s="15" t="s">
        <v>85</v>
      </c>
      <c r="O48" s="15">
        <v>62</v>
      </c>
      <c r="P48" s="15">
        <v>32</v>
      </c>
      <c r="Q48" s="15">
        <v>32</v>
      </c>
      <c r="R48" s="15">
        <v>36</v>
      </c>
      <c r="S48" s="37">
        <f>AVERAGE(O48:R48)</f>
        <v>40.5</v>
      </c>
      <c r="T48" s="260"/>
    </row>
    <row r="49" spans="2:20" x14ac:dyDescent="0.25">
      <c r="B49" s="262"/>
      <c r="C49" s="15"/>
      <c r="D49" s="15" t="s">
        <v>89</v>
      </c>
      <c r="E49" s="15">
        <v>10</v>
      </c>
      <c r="F49" s="15">
        <v>34</v>
      </c>
      <c r="G49" s="15">
        <v>12</v>
      </c>
      <c r="H49" s="15">
        <v>26</v>
      </c>
      <c r="I49" s="37">
        <f>AVERAGE(E49:H49)</f>
        <v>20.5</v>
      </c>
      <c r="J49" s="261">
        <f>AVERAGE(I48:I49)</f>
        <v>23</v>
      </c>
      <c r="L49" s="262"/>
      <c r="M49" s="15"/>
      <c r="N49" s="15" t="s">
        <v>89</v>
      </c>
      <c r="O49" s="15">
        <v>62</v>
      </c>
      <c r="P49" s="15">
        <v>28</v>
      </c>
      <c r="Q49" s="15">
        <v>24</v>
      </c>
      <c r="R49" s="15">
        <v>40</v>
      </c>
      <c r="S49" s="37">
        <f>AVERAGE(O49:R49)</f>
        <v>38.5</v>
      </c>
      <c r="T49" s="261">
        <f>AVERAGE(S48:S49)</f>
        <v>39.5</v>
      </c>
    </row>
    <row r="50" spans="2:20" x14ac:dyDescent="0.25">
      <c r="B50" s="262"/>
      <c r="C50" s="4" t="s">
        <v>123</v>
      </c>
      <c r="D50" s="5" t="s">
        <v>79</v>
      </c>
      <c r="E50" s="46" t="s">
        <v>80</v>
      </c>
      <c r="F50" s="46" t="s">
        <v>81</v>
      </c>
      <c r="G50" s="46" t="s">
        <v>82</v>
      </c>
      <c r="H50" s="46" t="s">
        <v>83</v>
      </c>
      <c r="I50" s="5" t="s">
        <v>235</v>
      </c>
      <c r="J50" s="160" t="s">
        <v>84</v>
      </c>
      <c r="L50" s="262"/>
      <c r="M50" s="4" t="s">
        <v>123</v>
      </c>
      <c r="N50" s="5" t="s">
        <v>79</v>
      </c>
      <c r="O50" s="46" t="s">
        <v>80</v>
      </c>
      <c r="P50" s="46" t="s">
        <v>81</v>
      </c>
      <c r="Q50" s="46" t="s">
        <v>82</v>
      </c>
      <c r="R50" s="46" t="s">
        <v>83</v>
      </c>
      <c r="S50" s="5" t="s">
        <v>235</v>
      </c>
      <c r="T50" s="160" t="s">
        <v>84</v>
      </c>
    </row>
    <row r="51" spans="2:20" x14ac:dyDescent="0.25">
      <c r="B51" s="262"/>
      <c r="C51" s="15"/>
      <c r="D51" s="15" t="s">
        <v>85</v>
      </c>
      <c r="E51" s="15">
        <v>0</v>
      </c>
      <c r="F51" s="15">
        <v>0</v>
      </c>
      <c r="G51" s="15">
        <v>0</v>
      </c>
      <c r="H51" s="15">
        <v>0</v>
      </c>
      <c r="I51" s="37">
        <f>AVERAGE(E51:H51)</f>
        <v>0</v>
      </c>
      <c r="J51" s="261"/>
      <c r="L51" s="262"/>
      <c r="M51" s="15"/>
      <c r="N51" s="15" t="s">
        <v>85</v>
      </c>
      <c r="O51" s="15">
        <v>18</v>
      </c>
      <c r="P51" s="15">
        <v>10</v>
      </c>
      <c r="Q51" s="15">
        <v>14</v>
      </c>
      <c r="R51" s="15">
        <v>20</v>
      </c>
      <c r="S51" s="37">
        <f>AVERAGE(O51:R51)</f>
        <v>15.5</v>
      </c>
      <c r="T51" s="260"/>
    </row>
    <row r="52" spans="2:20" x14ac:dyDescent="0.25">
      <c r="B52" s="262"/>
      <c r="C52" s="15"/>
      <c r="D52" s="15" t="s">
        <v>89</v>
      </c>
      <c r="E52" s="15">
        <v>0</v>
      </c>
      <c r="F52" s="15">
        <v>0</v>
      </c>
      <c r="G52" s="15">
        <v>0</v>
      </c>
      <c r="H52" s="15">
        <v>0</v>
      </c>
      <c r="I52" s="37">
        <f>AVERAGE(E52:H52)</f>
        <v>0</v>
      </c>
      <c r="J52" s="261">
        <f>AVERAGE(I51:I52)</f>
        <v>0</v>
      </c>
      <c r="L52" s="262"/>
      <c r="M52" s="15"/>
      <c r="N52" s="15" t="s">
        <v>89</v>
      </c>
      <c r="O52" s="15">
        <v>16</v>
      </c>
      <c r="P52" s="15">
        <v>8</v>
      </c>
      <c r="Q52" s="15">
        <v>8</v>
      </c>
      <c r="R52" s="15">
        <v>18</v>
      </c>
      <c r="S52" s="37">
        <f>AVERAGE(O52:R52)</f>
        <v>12.5</v>
      </c>
      <c r="T52" s="261">
        <f>AVERAGE(S51:S52)</f>
        <v>14</v>
      </c>
    </row>
    <row r="53" spans="2:20" x14ac:dyDescent="0.25">
      <c r="B53" s="262"/>
      <c r="C53" s="4" t="s">
        <v>124</v>
      </c>
      <c r="D53" s="5" t="s">
        <v>79</v>
      </c>
      <c r="E53" s="46" t="s">
        <v>80</v>
      </c>
      <c r="F53" s="46" t="s">
        <v>81</v>
      </c>
      <c r="G53" s="46" t="s">
        <v>82</v>
      </c>
      <c r="H53" s="46" t="s">
        <v>83</v>
      </c>
      <c r="I53" s="5" t="s">
        <v>235</v>
      </c>
      <c r="J53" s="160" t="s">
        <v>84</v>
      </c>
      <c r="L53" s="262"/>
      <c r="M53" s="4" t="s">
        <v>124</v>
      </c>
      <c r="N53" s="5" t="s">
        <v>79</v>
      </c>
      <c r="O53" s="46" t="s">
        <v>80</v>
      </c>
      <c r="P53" s="46" t="s">
        <v>81</v>
      </c>
      <c r="Q53" s="46" t="s">
        <v>82</v>
      </c>
      <c r="R53" s="46" t="s">
        <v>83</v>
      </c>
      <c r="S53" s="5" t="s">
        <v>235</v>
      </c>
      <c r="T53" s="160" t="s">
        <v>84</v>
      </c>
    </row>
    <row r="54" spans="2:20" x14ac:dyDescent="0.25">
      <c r="B54" s="262"/>
      <c r="C54" s="15"/>
      <c r="D54" s="15" t="s">
        <v>85</v>
      </c>
      <c r="E54" s="15">
        <v>6</v>
      </c>
      <c r="F54" s="15">
        <v>4</v>
      </c>
      <c r="G54" s="15">
        <v>6</v>
      </c>
      <c r="H54" s="15">
        <v>26</v>
      </c>
      <c r="I54" s="37">
        <f>AVERAGE(E54:H54)</f>
        <v>10.5</v>
      </c>
      <c r="J54" s="261"/>
      <c r="L54" s="262"/>
      <c r="M54" s="15"/>
      <c r="N54" s="15" t="s">
        <v>85</v>
      </c>
      <c r="O54" s="15">
        <v>12</v>
      </c>
      <c r="P54" s="15">
        <v>54</v>
      </c>
      <c r="Q54" s="15">
        <v>20</v>
      </c>
      <c r="R54" s="15">
        <v>22</v>
      </c>
      <c r="S54" s="37">
        <f>AVERAGE(O54:R54)</f>
        <v>27</v>
      </c>
      <c r="T54" s="260"/>
    </row>
    <row r="55" spans="2:20" x14ac:dyDescent="0.25">
      <c r="B55" s="262"/>
      <c r="C55" s="15"/>
      <c r="D55" s="15" t="s">
        <v>89</v>
      </c>
      <c r="E55" s="15">
        <v>8</v>
      </c>
      <c r="F55" s="15">
        <v>2</v>
      </c>
      <c r="G55" s="15">
        <v>4</v>
      </c>
      <c r="H55" s="15">
        <v>32</v>
      </c>
      <c r="I55" s="37">
        <f>AVERAGE(E55:H55)</f>
        <v>11.5</v>
      </c>
      <c r="J55" s="261">
        <f>AVERAGE(I54:I55)</f>
        <v>11</v>
      </c>
      <c r="L55" s="262"/>
      <c r="M55" s="15"/>
      <c r="N55" s="15" t="s">
        <v>89</v>
      </c>
      <c r="O55" s="15">
        <v>12</v>
      </c>
      <c r="P55" s="15">
        <v>38</v>
      </c>
      <c r="Q55" s="15">
        <v>22</v>
      </c>
      <c r="R55" s="15">
        <v>14</v>
      </c>
      <c r="S55" s="37">
        <f>AVERAGE(O55:R55)</f>
        <v>21.5</v>
      </c>
      <c r="T55" s="261">
        <f>AVERAGE(S54:S55)</f>
        <v>24.25</v>
      </c>
    </row>
    <row r="56" spans="2:20" x14ac:dyDescent="0.25">
      <c r="B56" s="262"/>
      <c r="C56" s="4" t="s">
        <v>125</v>
      </c>
      <c r="D56" s="5" t="s">
        <v>79</v>
      </c>
      <c r="E56" s="46" t="s">
        <v>80</v>
      </c>
      <c r="F56" s="46" t="s">
        <v>81</v>
      </c>
      <c r="G56" s="46" t="s">
        <v>82</v>
      </c>
      <c r="H56" s="46" t="s">
        <v>83</v>
      </c>
      <c r="I56" s="5" t="s">
        <v>235</v>
      </c>
      <c r="J56" s="160" t="s">
        <v>84</v>
      </c>
      <c r="L56" s="262"/>
      <c r="M56" s="4" t="s">
        <v>125</v>
      </c>
      <c r="N56" s="5" t="s">
        <v>79</v>
      </c>
      <c r="O56" s="46" t="s">
        <v>80</v>
      </c>
      <c r="P56" s="46" t="s">
        <v>81</v>
      </c>
      <c r="Q56" s="46" t="s">
        <v>82</v>
      </c>
      <c r="R56" s="46" t="s">
        <v>83</v>
      </c>
      <c r="S56" s="5" t="s">
        <v>235</v>
      </c>
      <c r="T56" s="160" t="s">
        <v>84</v>
      </c>
    </row>
    <row r="57" spans="2:20" x14ac:dyDescent="0.25">
      <c r="B57" s="262"/>
      <c r="C57" s="15"/>
      <c r="D57" s="15" t="s">
        <v>85</v>
      </c>
      <c r="E57" s="15">
        <v>64</v>
      </c>
      <c r="F57" s="15">
        <v>16</v>
      </c>
      <c r="G57" s="15">
        <v>36</v>
      </c>
      <c r="H57" s="15">
        <v>35</v>
      </c>
      <c r="I57" s="37">
        <f>AVERAGE(E57:H57)</f>
        <v>37.75</v>
      </c>
      <c r="J57" s="261"/>
      <c r="L57" s="262"/>
      <c r="M57" s="15"/>
      <c r="N57" s="15" t="s">
        <v>85</v>
      </c>
      <c r="O57" s="15">
        <v>18</v>
      </c>
      <c r="P57" s="15">
        <v>24</v>
      </c>
      <c r="Q57" s="15">
        <v>20</v>
      </c>
      <c r="R57" s="15">
        <v>6</v>
      </c>
      <c r="S57" s="37">
        <f>AVERAGE(O57:R57)</f>
        <v>17</v>
      </c>
      <c r="T57" s="260"/>
    </row>
    <row r="58" spans="2:20" x14ac:dyDescent="0.25">
      <c r="B58" s="262"/>
      <c r="C58" s="15"/>
      <c r="D58" s="15" t="s">
        <v>89</v>
      </c>
      <c r="E58" s="15">
        <v>64</v>
      </c>
      <c r="F58" s="15">
        <v>8</v>
      </c>
      <c r="G58" s="15">
        <v>40</v>
      </c>
      <c r="H58" s="15">
        <v>43</v>
      </c>
      <c r="I58" s="37">
        <f>AVERAGE(E58:H58)</f>
        <v>38.75</v>
      </c>
      <c r="J58" s="261">
        <f>AVERAGE(I57:I58)</f>
        <v>38.25</v>
      </c>
      <c r="L58" s="262"/>
      <c r="M58" s="15"/>
      <c r="N58" s="15" t="s">
        <v>89</v>
      </c>
      <c r="O58" s="15">
        <v>22</v>
      </c>
      <c r="P58" s="15">
        <v>20</v>
      </c>
      <c r="Q58" s="15">
        <v>22</v>
      </c>
      <c r="R58" s="15">
        <v>14</v>
      </c>
      <c r="S58" s="37">
        <f>AVERAGE(O58:R58)</f>
        <v>19.5</v>
      </c>
      <c r="T58" s="261">
        <f>AVERAGE(S57:S58)</f>
        <v>18.25</v>
      </c>
    </row>
    <row r="59" spans="2:20" x14ac:dyDescent="0.25">
      <c r="B59" s="262"/>
      <c r="C59" s="4" t="s">
        <v>126</v>
      </c>
      <c r="D59" s="5" t="s">
        <v>79</v>
      </c>
      <c r="E59" s="46" t="s">
        <v>80</v>
      </c>
      <c r="F59" s="46" t="s">
        <v>81</v>
      </c>
      <c r="G59" s="46" t="s">
        <v>82</v>
      </c>
      <c r="H59" s="46" t="s">
        <v>83</v>
      </c>
      <c r="I59" s="5" t="s">
        <v>235</v>
      </c>
      <c r="J59" s="160" t="s">
        <v>84</v>
      </c>
      <c r="L59" s="262"/>
      <c r="M59" s="4" t="s">
        <v>126</v>
      </c>
      <c r="N59" s="5" t="s">
        <v>79</v>
      </c>
      <c r="O59" s="46" t="s">
        <v>80</v>
      </c>
      <c r="P59" s="46" t="s">
        <v>81</v>
      </c>
      <c r="Q59" s="46" t="s">
        <v>82</v>
      </c>
      <c r="R59" s="46" t="s">
        <v>83</v>
      </c>
      <c r="S59" s="5" t="s">
        <v>235</v>
      </c>
      <c r="T59" s="160" t="s">
        <v>84</v>
      </c>
    </row>
    <row r="60" spans="2:20" x14ac:dyDescent="0.25">
      <c r="B60" s="262"/>
      <c r="C60" s="15"/>
      <c r="D60" s="15" t="s">
        <v>85</v>
      </c>
      <c r="E60" s="15">
        <v>40</v>
      </c>
      <c r="F60" s="15">
        <v>30</v>
      </c>
      <c r="G60" s="15">
        <v>32</v>
      </c>
      <c r="H60" s="15">
        <v>74</v>
      </c>
      <c r="I60" s="37">
        <f>AVERAGE(E60:H60)</f>
        <v>44</v>
      </c>
      <c r="J60" s="260"/>
      <c r="L60" s="262"/>
      <c r="M60" s="15"/>
      <c r="N60" s="15" t="s">
        <v>85</v>
      </c>
      <c r="O60" s="15">
        <v>12</v>
      </c>
      <c r="P60" s="15">
        <v>20</v>
      </c>
      <c r="Q60" s="15">
        <v>16</v>
      </c>
      <c r="R60" s="15">
        <v>50</v>
      </c>
      <c r="S60" s="37">
        <f>AVERAGE(O60:R60)</f>
        <v>24.5</v>
      </c>
      <c r="T60" s="260"/>
    </row>
    <row r="61" spans="2:20" x14ac:dyDescent="0.25">
      <c r="B61" s="262"/>
      <c r="C61" s="15"/>
      <c r="D61" s="15" t="s">
        <v>89</v>
      </c>
      <c r="E61" s="15">
        <v>24</v>
      </c>
      <c r="F61" s="15">
        <v>26</v>
      </c>
      <c r="G61" s="15">
        <v>24</v>
      </c>
      <c r="H61" s="15">
        <v>58</v>
      </c>
      <c r="I61" s="37">
        <f>AVERAGE(E61:H61)</f>
        <v>33</v>
      </c>
      <c r="J61" s="261">
        <f>AVERAGE(I60:I61)</f>
        <v>38.5</v>
      </c>
      <c r="L61" s="262"/>
      <c r="M61" s="15"/>
      <c r="N61" s="15" t="s">
        <v>89</v>
      </c>
      <c r="O61" s="15">
        <v>12</v>
      </c>
      <c r="P61" s="15">
        <v>10</v>
      </c>
      <c r="Q61" s="15">
        <v>26</v>
      </c>
      <c r="R61" s="15">
        <v>54</v>
      </c>
      <c r="S61" s="37">
        <f>AVERAGE(O61:R61)</f>
        <v>25.5</v>
      </c>
      <c r="T61" s="261">
        <f>AVERAGE(S60:S61)</f>
        <v>25</v>
      </c>
    </row>
    <row r="62" spans="2:20" x14ac:dyDescent="0.25">
      <c r="B62" s="262"/>
      <c r="C62" s="4" t="s">
        <v>127</v>
      </c>
      <c r="D62" s="5" t="s">
        <v>79</v>
      </c>
      <c r="E62" s="46" t="s">
        <v>80</v>
      </c>
      <c r="F62" s="46" t="s">
        <v>81</v>
      </c>
      <c r="G62" s="46" t="s">
        <v>82</v>
      </c>
      <c r="H62" s="46" t="s">
        <v>83</v>
      </c>
      <c r="I62" s="5" t="s">
        <v>235</v>
      </c>
      <c r="J62" s="160" t="s">
        <v>84</v>
      </c>
      <c r="L62" s="262"/>
      <c r="M62" s="4" t="s">
        <v>127</v>
      </c>
      <c r="N62" s="5" t="s">
        <v>79</v>
      </c>
      <c r="O62" s="46" t="s">
        <v>80</v>
      </c>
      <c r="P62" s="46" t="s">
        <v>81</v>
      </c>
      <c r="Q62" s="46" t="s">
        <v>82</v>
      </c>
      <c r="R62" s="46" t="s">
        <v>83</v>
      </c>
      <c r="S62" s="5" t="s">
        <v>235</v>
      </c>
      <c r="T62" s="160" t="s">
        <v>84</v>
      </c>
    </row>
    <row r="63" spans="2:20" x14ac:dyDescent="0.25">
      <c r="B63" s="262"/>
      <c r="C63" s="15"/>
      <c r="D63" s="15" t="s">
        <v>85</v>
      </c>
      <c r="E63" s="15">
        <v>18</v>
      </c>
      <c r="F63" s="15">
        <v>14</v>
      </c>
      <c r="G63" s="15">
        <v>16</v>
      </c>
      <c r="H63" s="15">
        <v>20</v>
      </c>
      <c r="I63" s="37">
        <f>AVERAGE(E63:H63)</f>
        <v>17</v>
      </c>
      <c r="J63" s="260"/>
      <c r="L63" s="262"/>
      <c r="M63" s="15"/>
      <c r="N63" s="15" t="s">
        <v>85</v>
      </c>
      <c r="O63" s="15">
        <v>12</v>
      </c>
      <c r="P63" s="15">
        <v>14</v>
      </c>
      <c r="Q63" s="15">
        <v>20</v>
      </c>
      <c r="R63" s="15">
        <v>18</v>
      </c>
      <c r="S63" s="37">
        <f>AVERAGE(O63:R63)</f>
        <v>16</v>
      </c>
      <c r="T63" s="261"/>
    </row>
    <row r="64" spans="2:20" x14ac:dyDescent="0.25">
      <c r="B64" s="262"/>
      <c r="C64" s="15"/>
      <c r="D64" s="15" t="s">
        <v>89</v>
      </c>
      <c r="E64" s="15">
        <v>10</v>
      </c>
      <c r="F64" s="15">
        <v>8</v>
      </c>
      <c r="G64" s="15">
        <v>14</v>
      </c>
      <c r="H64" s="15">
        <v>16</v>
      </c>
      <c r="I64" s="37">
        <f>AVERAGE(E64:H64)</f>
        <v>12</v>
      </c>
      <c r="J64" s="261">
        <f>AVERAGE(I63:I64)</f>
        <v>14.5</v>
      </c>
      <c r="L64" s="262"/>
      <c r="M64" s="15"/>
      <c r="N64" s="15" t="s">
        <v>89</v>
      </c>
      <c r="O64" s="15">
        <v>8</v>
      </c>
      <c r="P64" s="15">
        <v>10</v>
      </c>
      <c r="Q64" s="15">
        <v>16</v>
      </c>
      <c r="R64" s="15">
        <v>14</v>
      </c>
      <c r="S64" s="37">
        <f>AVERAGE(O64:R64)</f>
        <v>12</v>
      </c>
      <c r="T64" s="261">
        <f>AVERAGE(S63:S64)</f>
        <v>14</v>
      </c>
    </row>
    <row r="65" spans="2:20" x14ac:dyDescent="0.25">
      <c r="B65" s="262"/>
      <c r="C65" s="4" t="s">
        <v>64</v>
      </c>
      <c r="D65" s="5" t="s">
        <v>79</v>
      </c>
      <c r="E65" s="46" t="s">
        <v>80</v>
      </c>
      <c r="F65" s="46" t="s">
        <v>81</v>
      </c>
      <c r="G65" s="46" t="s">
        <v>82</v>
      </c>
      <c r="H65" s="46" t="s">
        <v>83</v>
      </c>
      <c r="I65" s="5" t="s">
        <v>235</v>
      </c>
      <c r="J65" s="160" t="s">
        <v>84</v>
      </c>
      <c r="L65" s="262"/>
      <c r="M65" s="4" t="s">
        <v>64</v>
      </c>
      <c r="N65" s="5" t="s">
        <v>79</v>
      </c>
      <c r="O65" s="46" t="s">
        <v>80</v>
      </c>
      <c r="P65" s="46" t="s">
        <v>81</v>
      </c>
      <c r="Q65" s="46" t="s">
        <v>82</v>
      </c>
      <c r="R65" s="46" t="s">
        <v>83</v>
      </c>
      <c r="S65" s="5" t="s">
        <v>235</v>
      </c>
      <c r="T65" s="160" t="s">
        <v>84</v>
      </c>
    </row>
    <row r="66" spans="2:20" x14ac:dyDescent="0.25">
      <c r="B66" s="262"/>
      <c r="C66" s="15"/>
      <c r="D66" s="15" t="s">
        <v>85</v>
      </c>
      <c r="E66" s="15">
        <v>46</v>
      </c>
      <c r="F66" s="15">
        <v>26</v>
      </c>
      <c r="G66" s="15">
        <v>40</v>
      </c>
      <c r="H66" s="15">
        <v>96</v>
      </c>
      <c r="I66" s="37">
        <f>AVERAGE(E66:H66)</f>
        <v>52</v>
      </c>
      <c r="J66" s="261"/>
      <c r="L66" s="262"/>
      <c r="M66" s="15"/>
      <c r="N66" s="15" t="s">
        <v>85</v>
      </c>
      <c r="O66" s="15">
        <v>32</v>
      </c>
      <c r="P66" s="15">
        <v>20</v>
      </c>
      <c r="Q66" s="15">
        <v>40</v>
      </c>
      <c r="R66" s="15">
        <v>20</v>
      </c>
      <c r="S66" s="37">
        <f>AVERAGE(O66:R66)</f>
        <v>28</v>
      </c>
      <c r="T66" s="261"/>
    </row>
    <row r="67" spans="2:20" x14ac:dyDescent="0.25">
      <c r="B67" s="262"/>
      <c r="C67" s="15"/>
      <c r="D67" s="15" t="s">
        <v>89</v>
      </c>
      <c r="E67" s="15">
        <v>38</v>
      </c>
      <c r="F67" s="15">
        <v>34</v>
      </c>
      <c r="G67" s="15">
        <v>32</v>
      </c>
      <c r="H67" s="15">
        <v>112</v>
      </c>
      <c r="I67" s="37">
        <f>AVERAGE(E67:H67)</f>
        <v>54</v>
      </c>
      <c r="J67" s="261">
        <f>AVERAGE(I66:I67)</f>
        <v>53</v>
      </c>
      <c r="L67" s="262"/>
      <c r="M67" s="15"/>
      <c r="N67" s="15" t="s">
        <v>89</v>
      </c>
      <c r="O67" s="15">
        <v>26</v>
      </c>
      <c r="P67" s="15">
        <v>18</v>
      </c>
      <c r="Q67" s="15">
        <v>28</v>
      </c>
      <c r="R67" s="15">
        <v>20</v>
      </c>
      <c r="S67" s="37">
        <f>AVERAGE(O67:R67)</f>
        <v>23</v>
      </c>
      <c r="T67" s="261">
        <f>AVERAGE(S66:S67)</f>
        <v>25.5</v>
      </c>
    </row>
    <row r="68" spans="2:20" x14ac:dyDescent="0.25">
      <c r="B68" s="262"/>
      <c r="C68" s="4" t="s">
        <v>67</v>
      </c>
      <c r="D68" s="5" t="s">
        <v>79</v>
      </c>
      <c r="E68" s="46" t="s">
        <v>80</v>
      </c>
      <c r="F68" s="46" t="s">
        <v>81</v>
      </c>
      <c r="G68" s="46" t="s">
        <v>82</v>
      </c>
      <c r="H68" s="46" t="s">
        <v>83</v>
      </c>
      <c r="I68" s="5" t="s">
        <v>235</v>
      </c>
      <c r="J68" s="160" t="s">
        <v>84</v>
      </c>
      <c r="L68" s="262"/>
      <c r="M68" s="4" t="s">
        <v>67</v>
      </c>
      <c r="N68" s="5" t="s">
        <v>79</v>
      </c>
      <c r="O68" s="46" t="s">
        <v>80</v>
      </c>
      <c r="P68" s="46" t="s">
        <v>81</v>
      </c>
      <c r="Q68" s="46" t="s">
        <v>82</v>
      </c>
      <c r="R68" s="46" t="s">
        <v>83</v>
      </c>
      <c r="S68" s="5" t="s">
        <v>235</v>
      </c>
      <c r="T68" s="160" t="s">
        <v>84</v>
      </c>
    </row>
    <row r="69" spans="2:20" x14ac:dyDescent="0.25">
      <c r="B69" s="262"/>
      <c r="C69" s="15"/>
      <c r="D69" s="15" t="s">
        <v>85</v>
      </c>
      <c r="E69" s="15">
        <v>32</v>
      </c>
      <c r="F69" s="15">
        <v>48</v>
      </c>
      <c r="G69" s="15">
        <v>54</v>
      </c>
      <c r="H69" s="15">
        <v>16</v>
      </c>
      <c r="I69" s="37">
        <f>AVERAGE(E69:H69)</f>
        <v>37.5</v>
      </c>
      <c r="J69" s="261"/>
      <c r="L69" s="262"/>
      <c r="M69" s="15"/>
      <c r="N69" s="15" t="s">
        <v>85</v>
      </c>
      <c r="O69" s="15">
        <v>8</v>
      </c>
      <c r="P69" s="15">
        <v>22</v>
      </c>
      <c r="Q69" s="15">
        <v>16</v>
      </c>
      <c r="R69" s="15">
        <v>12</v>
      </c>
      <c r="S69" s="37">
        <f>AVERAGE(O69:R69)</f>
        <v>14.5</v>
      </c>
      <c r="T69" s="261"/>
    </row>
    <row r="70" spans="2:20" x14ac:dyDescent="0.25">
      <c r="B70" s="262"/>
      <c r="C70" s="15"/>
      <c r="D70" s="15" t="s">
        <v>89</v>
      </c>
      <c r="E70" s="15">
        <v>40</v>
      </c>
      <c r="F70" s="15">
        <v>40</v>
      </c>
      <c r="G70" s="15">
        <v>54</v>
      </c>
      <c r="H70" s="15">
        <v>26</v>
      </c>
      <c r="I70" s="37">
        <f>AVERAGE(E70:H70)</f>
        <v>40</v>
      </c>
      <c r="J70" s="261">
        <f>AVERAGE(I69:I70)</f>
        <v>38.75</v>
      </c>
      <c r="L70" s="262"/>
      <c r="M70" s="15"/>
      <c r="N70" s="15" t="s">
        <v>89</v>
      </c>
      <c r="O70" s="15">
        <v>12</v>
      </c>
      <c r="P70" s="15">
        <v>14</v>
      </c>
      <c r="Q70" s="15">
        <v>18</v>
      </c>
      <c r="R70" s="15">
        <v>16</v>
      </c>
      <c r="S70" s="37">
        <f>AVERAGE(O70:R70)</f>
        <v>15</v>
      </c>
      <c r="T70" s="261">
        <f>AVERAGE(S69:S70)</f>
        <v>14.75</v>
      </c>
    </row>
    <row r="71" spans="2:20" x14ac:dyDescent="0.25">
      <c r="B71" s="262"/>
      <c r="C71" s="4" t="s">
        <v>69</v>
      </c>
      <c r="D71" s="5" t="s">
        <v>79</v>
      </c>
      <c r="E71" s="46" t="s">
        <v>80</v>
      </c>
      <c r="F71" s="46" t="s">
        <v>81</v>
      </c>
      <c r="G71" s="46" t="s">
        <v>82</v>
      </c>
      <c r="H71" s="46" t="s">
        <v>83</v>
      </c>
      <c r="I71" s="5" t="s">
        <v>235</v>
      </c>
      <c r="J71" s="160" t="s">
        <v>84</v>
      </c>
      <c r="L71" s="262"/>
      <c r="M71" s="4" t="s">
        <v>69</v>
      </c>
      <c r="N71" s="5" t="s">
        <v>79</v>
      </c>
      <c r="O71" s="46" t="s">
        <v>80</v>
      </c>
      <c r="P71" s="46" t="s">
        <v>81</v>
      </c>
      <c r="Q71" s="46" t="s">
        <v>82</v>
      </c>
      <c r="R71" s="46" t="s">
        <v>83</v>
      </c>
      <c r="S71" s="5" t="s">
        <v>235</v>
      </c>
      <c r="T71" s="160" t="s">
        <v>84</v>
      </c>
    </row>
    <row r="72" spans="2:20" x14ac:dyDescent="0.25">
      <c r="B72" s="262"/>
      <c r="C72" s="15"/>
      <c r="D72" s="15" t="s">
        <v>85</v>
      </c>
      <c r="E72" s="15">
        <v>12</v>
      </c>
      <c r="F72" s="15">
        <v>62</v>
      </c>
      <c r="G72" s="15">
        <v>20</v>
      </c>
      <c r="H72" s="15">
        <v>20</v>
      </c>
      <c r="I72" s="37">
        <f>AVERAGE(E72:H72)</f>
        <v>28.5</v>
      </c>
      <c r="J72" s="261"/>
      <c r="L72" s="262"/>
      <c r="M72" s="15"/>
      <c r="N72" s="15" t="s">
        <v>85</v>
      </c>
      <c r="O72" s="15">
        <v>4</v>
      </c>
      <c r="P72" s="15">
        <v>10</v>
      </c>
      <c r="Q72" s="15">
        <v>6</v>
      </c>
      <c r="R72" s="15">
        <v>30</v>
      </c>
      <c r="S72" s="37">
        <f>AVERAGE(O72:R72)</f>
        <v>12.5</v>
      </c>
      <c r="T72" s="261"/>
    </row>
    <row r="73" spans="2:20" x14ac:dyDescent="0.25">
      <c r="B73" s="262"/>
      <c r="C73" s="15"/>
      <c r="D73" s="15" t="s">
        <v>89</v>
      </c>
      <c r="E73" s="15">
        <v>12</v>
      </c>
      <c r="F73" s="15">
        <v>52</v>
      </c>
      <c r="G73" s="15">
        <v>12</v>
      </c>
      <c r="H73" s="15">
        <v>20</v>
      </c>
      <c r="I73" s="37">
        <f>AVERAGE(E73:H73)</f>
        <v>24</v>
      </c>
      <c r="J73" s="261">
        <f>AVERAGE(I72:I73)</f>
        <v>26.25</v>
      </c>
      <c r="L73" s="262"/>
      <c r="M73" s="15"/>
      <c r="N73" s="15" t="s">
        <v>89</v>
      </c>
      <c r="O73" s="15">
        <v>4</v>
      </c>
      <c r="P73" s="15">
        <v>14</v>
      </c>
      <c r="Q73" s="15">
        <v>10</v>
      </c>
      <c r="R73" s="15">
        <v>34</v>
      </c>
      <c r="S73" s="37">
        <f>AVERAGE(O73:R73)</f>
        <v>15.5</v>
      </c>
      <c r="T73" s="261">
        <f>AVERAGE(S72:S73)</f>
        <v>14</v>
      </c>
    </row>
    <row r="74" spans="2:20" x14ac:dyDescent="0.25">
      <c r="B74" s="262"/>
      <c r="C74" s="4" t="s">
        <v>71</v>
      </c>
      <c r="D74" s="5" t="s">
        <v>79</v>
      </c>
      <c r="E74" s="46" t="s">
        <v>80</v>
      </c>
      <c r="F74" s="46" t="s">
        <v>81</v>
      </c>
      <c r="G74" s="46" t="s">
        <v>82</v>
      </c>
      <c r="H74" s="46" t="s">
        <v>83</v>
      </c>
      <c r="I74" s="5" t="s">
        <v>235</v>
      </c>
      <c r="J74" s="160" t="s">
        <v>84</v>
      </c>
      <c r="L74" s="262"/>
      <c r="M74" s="4" t="s">
        <v>71</v>
      </c>
      <c r="N74" s="5" t="s">
        <v>79</v>
      </c>
      <c r="O74" s="46" t="s">
        <v>80</v>
      </c>
      <c r="P74" s="46" t="s">
        <v>81</v>
      </c>
      <c r="Q74" s="46" t="s">
        <v>82</v>
      </c>
      <c r="R74" s="46" t="s">
        <v>83</v>
      </c>
      <c r="S74" s="5" t="s">
        <v>235</v>
      </c>
      <c r="T74" s="160" t="s">
        <v>84</v>
      </c>
    </row>
    <row r="75" spans="2:20" x14ac:dyDescent="0.25">
      <c r="B75" s="262"/>
      <c r="C75" s="15"/>
      <c r="D75" s="15" t="s">
        <v>85</v>
      </c>
      <c r="E75" s="15">
        <v>156</v>
      </c>
      <c r="F75" s="15">
        <v>56</v>
      </c>
      <c r="G75" s="15">
        <v>100</v>
      </c>
      <c r="H75" s="15">
        <v>96</v>
      </c>
      <c r="I75" s="37">
        <f>AVERAGE(E75:H75)</f>
        <v>102</v>
      </c>
      <c r="J75" s="261"/>
      <c r="L75" s="262"/>
      <c r="M75" s="15"/>
      <c r="N75" s="15" t="s">
        <v>85</v>
      </c>
      <c r="O75" s="15">
        <v>52</v>
      </c>
      <c r="P75" s="15">
        <v>38</v>
      </c>
      <c r="Q75" s="15">
        <v>20</v>
      </c>
      <c r="R75" s="15">
        <v>46</v>
      </c>
      <c r="S75" s="37">
        <f>AVERAGE(O75:R75)</f>
        <v>39</v>
      </c>
      <c r="T75" s="261"/>
    </row>
    <row r="76" spans="2:20" x14ac:dyDescent="0.25">
      <c r="B76" s="262"/>
      <c r="C76" s="15"/>
      <c r="D76" s="15" t="s">
        <v>89</v>
      </c>
      <c r="E76" s="15">
        <v>136</v>
      </c>
      <c r="F76" s="15">
        <v>76</v>
      </c>
      <c r="G76" s="15">
        <v>116</v>
      </c>
      <c r="H76" s="15">
        <v>112</v>
      </c>
      <c r="I76" s="37">
        <f>AVERAGE(E76:H76)</f>
        <v>110</v>
      </c>
      <c r="J76" s="261">
        <f>AVERAGE(I75:I76)</f>
        <v>106</v>
      </c>
      <c r="L76" s="262"/>
      <c r="M76" s="15"/>
      <c r="N76" s="15" t="s">
        <v>89</v>
      </c>
      <c r="O76" s="15">
        <v>40</v>
      </c>
      <c r="P76" s="15">
        <v>58</v>
      </c>
      <c r="Q76" s="15">
        <v>26</v>
      </c>
      <c r="R76" s="15">
        <v>58</v>
      </c>
      <c r="S76" s="37">
        <f>AVERAGE(O76:R76)</f>
        <v>45.5</v>
      </c>
      <c r="T76" s="261">
        <f>AVERAGE(S75:S76)</f>
        <v>42.25</v>
      </c>
    </row>
    <row r="77" spans="2:20" x14ac:dyDescent="0.25">
      <c r="B77" s="262"/>
      <c r="C77" s="4" t="s">
        <v>74</v>
      </c>
      <c r="D77" s="5" t="s">
        <v>79</v>
      </c>
      <c r="E77" s="46" t="s">
        <v>80</v>
      </c>
      <c r="F77" s="46" t="s">
        <v>81</v>
      </c>
      <c r="G77" s="46" t="s">
        <v>82</v>
      </c>
      <c r="H77" s="46" t="s">
        <v>83</v>
      </c>
      <c r="I77" s="5" t="s">
        <v>235</v>
      </c>
      <c r="J77" s="160" t="s">
        <v>84</v>
      </c>
      <c r="L77" s="262"/>
      <c r="M77" s="4" t="s">
        <v>74</v>
      </c>
      <c r="N77" s="5" t="s">
        <v>79</v>
      </c>
      <c r="O77" s="46" t="s">
        <v>80</v>
      </c>
      <c r="P77" s="46" t="s">
        <v>81</v>
      </c>
      <c r="Q77" s="46" t="s">
        <v>82</v>
      </c>
      <c r="R77" s="46" t="s">
        <v>83</v>
      </c>
      <c r="S77" s="5" t="s">
        <v>235</v>
      </c>
      <c r="T77" s="160" t="s">
        <v>84</v>
      </c>
    </row>
    <row r="78" spans="2:20" x14ac:dyDescent="0.25">
      <c r="B78" s="262"/>
      <c r="C78" s="15"/>
      <c r="D78" s="15" t="s">
        <v>85</v>
      </c>
      <c r="E78" s="15">
        <v>120</v>
      </c>
      <c r="F78" s="15">
        <v>156</v>
      </c>
      <c r="G78" s="15">
        <v>140</v>
      </c>
      <c r="H78" s="15">
        <v>150</v>
      </c>
      <c r="I78" s="37">
        <f>AVERAGE(E78:H78)</f>
        <v>141.5</v>
      </c>
      <c r="J78" s="261"/>
      <c r="L78" s="262"/>
      <c r="M78" s="15"/>
      <c r="N78" s="15" t="s">
        <v>85</v>
      </c>
      <c r="O78" s="15">
        <v>184</v>
      </c>
      <c r="P78" s="15">
        <v>100</v>
      </c>
      <c r="Q78" s="15">
        <v>62</v>
      </c>
      <c r="R78" s="15">
        <v>22</v>
      </c>
      <c r="S78" s="37">
        <f>AVERAGE(O78:R78)</f>
        <v>92</v>
      </c>
      <c r="T78" s="261"/>
    </row>
    <row r="79" spans="2:20" x14ac:dyDescent="0.25">
      <c r="B79" s="262"/>
      <c r="C79" s="15"/>
      <c r="D79" s="206" t="s">
        <v>89</v>
      </c>
      <c r="E79" s="206">
        <v>106</v>
      </c>
      <c r="F79" s="206">
        <v>150</v>
      </c>
      <c r="G79" s="206">
        <v>160</v>
      </c>
      <c r="H79" s="206">
        <v>136</v>
      </c>
      <c r="I79" s="265">
        <f>AVERAGE(E79:H79)</f>
        <v>138</v>
      </c>
      <c r="J79" s="266">
        <f>AVERAGE(I78:I79)</f>
        <v>139.75</v>
      </c>
      <c r="L79" s="262"/>
      <c r="M79" s="15"/>
      <c r="N79" s="206" t="s">
        <v>89</v>
      </c>
      <c r="O79" s="206">
        <v>144</v>
      </c>
      <c r="P79" s="206">
        <v>72</v>
      </c>
      <c r="Q79" s="206">
        <v>90</v>
      </c>
      <c r="R79" s="206">
        <v>40</v>
      </c>
      <c r="S79" s="265">
        <f>AVERAGE(O79:R79)</f>
        <v>86.5</v>
      </c>
      <c r="T79" s="261">
        <f>AVERAGE(S78:S79)</f>
        <v>89.25</v>
      </c>
    </row>
    <row r="80" spans="2:20" x14ac:dyDescent="0.25">
      <c r="B80" s="262"/>
      <c r="C80" s="15"/>
      <c r="D80" s="13"/>
      <c r="E80" s="4" t="s">
        <v>117</v>
      </c>
      <c r="F80" s="5" t="s">
        <v>118</v>
      </c>
      <c r="G80" s="5" t="s">
        <v>119</v>
      </c>
      <c r="H80" s="40" t="s">
        <v>120</v>
      </c>
      <c r="I80" s="73"/>
      <c r="J80" s="268"/>
      <c r="L80" s="262"/>
      <c r="M80" s="15"/>
      <c r="N80" s="13"/>
      <c r="O80" s="4" t="s">
        <v>117</v>
      </c>
      <c r="P80" s="5" t="s">
        <v>118</v>
      </c>
      <c r="Q80" s="5" t="s">
        <v>119</v>
      </c>
      <c r="R80" s="40" t="s">
        <v>120</v>
      </c>
      <c r="S80" s="73"/>
      <c r="T80" s="268"/>
    </row>
    <row r="81" spans="2:20" x14ac:dyDescent="0.25">
      <c r="B81" s="262"/>
      <c r="C81" s="15"/>
      <c r="D81" s="15"/>
      <c r="E81" s="15">
        <f>SUM(E78:E79,E75:E76,E72:E73,E69:E70,E66:E67,E63:E64,E60:E61,E57:E58,E54:E55,E51:E52,E48:E49,E45:E46)</f>
        <v>1062</v>
      </c>
      <c r="F81" s="15">
        <f>SUM(F78:F79,F75:F76,F72:F73,F69:F70,F66:F67,F63:F64,F60:F61,F57:F58,F54:F55,F51:F52,F48:F49,F45:F46)</f>
        <v>994</v>
      </c>
      <c r="G81" s="15">
        <f>SUM(G78:G79,G75:G76,G72:G73,G69:G70,G66:G67,G63:G64,G60:G61,G57:G58,G54:G55,G51:G52,G48:G49,G45:G46)</f>
        <v>1040</v>
      </c>
      <c r="H81" s="234">
        <f>SUM(H78:H79,H75:H76,H72:H73,H69:H70,H66:H67,H63:H64,H60:H61,H57:H58,H54:H55,H51:H52,H48:H49,H45:H46)</f>
        <v>1298</v>
      </c>
      <c r="I81" s="15"/>
      <c r="J81" s="260"/>
      <c r="L81" s="262"/>
      <c r="M81" s="15"/>
      <c r="N81" s="15"/>
      <c r="O81" s="15">
        <f>SUM(O78:O79,O75:O76,O72:O73,O69:O70,O66:O67,O63:O64,O60:O61,O57:O58,O54:O55,O51:O52,O48:O49,O45:O46)</f>
        <v>988</v>
      </c>
      <c r="P81" s="15">
        <f>SUM(P78:P79,P75:P76,P72:P73,P69:P70,P66:P67,P63:P64,P60:P61,P57:P58,P54:P55,P51:P52,P48:P49,P45:P46)</f>
        <v>846</v>
      </c>
      <c r="Q81" s="15">
        <f>SUM(Q78:Q79,Q75:Q76,Q72:Q73,Q69:Q70,Q66:Q67,Q63:Q64,Q60:Q61,Q57:Q58,Q54:Q55,Q51:Q52,Q48:Q49,Q45:Q46)</f>
        <v>722</v>
      </c>
      <c r="R81" s="234">
        <f>SUM(R78:R79,R75:R76,R72:R73,R69:R70,R66:R67,R63:R64,R60:R61,R57:R58,R54:R55,R51:R52,R48:R49,R45:R46)</f>
        <v>778</v>
      </c>
      <c r="S81" s="117"/>
      <c r="T81" s="260"/>
    </row>
    <row r="82" spans="2:20" x14ac:dyDescent="0.25">
      <c r="B82" s="262"/>
      <c r="C82" s="15"/>
      <c r="D82" s="15"/>
      <c r="E82" s="15"/>
      <c r="F82" s="15"/>
      <c r="G82" s="15"/>
      <c r="H82" s="74" t="s">
        <v>245</v>
      </c>
      <c r="I82" s="55">
        <f>AVERAGE(E81:H81)</f>
        <v>1098.5</v>
      </c>
      <c r="J82" s="260"/>
      <c r="L82" s="262"/>
      <c r="M82" s="15"/>
      <c r="N82" s="15"/>
      <c r="O82" s="15"/>
      <c r="P82" s="15"/>
      <c r="Q82" s="15"/>
      <c r="R82" s="74" t="s">
        <v>245</v>
      </c>
      <c r="S82" s="55">
        <f>AVERAGE(O81:R81)</f>
        <v>833.5</v>
      </c>
      <c r="T82" s="260"/>
    </row>
    <row r="83" spans="2:20" ht="15.75" thickBot="1" x14ac:dyDescent="0.3">
      <c r="B83" s="269"/>
      <c r="C83" s="270"/>
      <c r="D83" s="270"/>
      <c r="E83" s="270"/>
      <c r="F83" s="270"/>
      <c r="G83" s="270"/>
      <c r="H83" s="162" t="s">
        <v>22</v>
      </c>
      <c r="I83" s="142">
        <f>_xlfn.STDEV.S(E81:H81)</f>
        <v>135.98406769422169</v>
      </c>
      <c r="J83" s="271"/>
      <c r="L83" s="269"/>
      <c r="M83" s="270"/>
      <c r="N83" s="270"/>
      <c r="O83" s="270"/>
      <c r="P83" s="270"/>
      <c r="Q83" s="270"/>
      <c r="R83" s="162" t="s">
        <v>22</v>
      </c>
      <c r="S83" s="142">
        <f>_xlfn.STDEV.S(O81:R81)</f>
        <v>114.80272935199174</v>
      </c>
      <c r="T83" s="271"/>
    </row>
    <row r="84" spans="2:20" x14ac:dyDescent="0.25">
      <c r="K84" s="234"/>
    </row>
    <row r="85" spans="2:20" x14ac:dyDescent="0.25">
      <c r="K85" s="234"/>
    </row>
    <row r="86" spans="2:20" x14ac:dyDescent="0.25">
      <c r="C86" s="15"/>
      <c r="M86" s="170"/>
    </row>
    <row r="87" spans="2:20" x14ac:dyDescent="0.25">
      <c r="M87" s="165"/>
    </row>
  </sheetData>
  <pageMargins left="0.7" right="0.7" top="0.75" bottom="0.75" header="0.3" footer="0.3"/>
  <pageSetup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/>
  <dimension ref="B2:R89"/>
  <sheetViews>
    <sheetView zoomScale="60" zoomScaleNormal="60" workbookViewId="0"/>
  </sheetViews>
  <sheetFormatPr defaultColWidth="9.140625" defaultRowHeight="15" x14ac:dyDescent="0.25"/>
  <cols>
    <col min="1" max="1" width="2" style="32" customWidth="1"/>
    <col min="2" max="2" width="18.85546875" style="32" customWidth="1"/>
    <col min="3" max="3" width="21.5703125" style="32" bestFit="1" customWidth="1"/>
    <col min="4" max="9" width="17" style="32" bestFit="1" customWidth="1"/>
    <col min="10" max="10" width="12" style="32" bestFit="1" customWidth="1"/>
    <col min="11" max="11" width="12.28515625" style="32" bestFit="1" customWidth="1"/>
    <col min="12" max="12" width="13.7109375" style="32" bestFit="1" customWidth="1"/>
    <col min="13" max="13" width="12" style="32" bestFit="1" customWidth="1"/>
    <col min="14" max="14" width="13.7109375" style="32" bestFit="1" customWidth="1"/>
    <col min="15" max="16" width="12" style="32" bestFit="1" customWidth="1"/>
    <col min="17" max="17" width="14.5703125" style="32" customWidth="1"/>
    <col min="18" max="18" width="12" style="32" bestFit="1" customWidth="1"/>
    <col min="19" max="16384" width="9.140625" style="32"/>
  </cols>
  <sheetData>
    <row r="2" spans="2:18" x14ac:dyDescent="0.25">
      <c r="B2" s="460" t="s">
        <v>247</v>
      </c>
      <c r="C2" s="460"/>
      <c r="D2" s="460"/>
      <c r="E2" s="460"/>
      <c r="F2" s="460"/>
      <c r="G2" s="460"/>
      <c r="H2" s="276"/>
      <c r="I2" s="33"/>
      <c r="J2" s="33"/>
      <c r="K2" s="272"/>
      <c r="L2" s="272"/>
      <c r="M2" s="272"/>
    </row>
    <row r="3" spans="2:18" x14ac:dyDescent="0.25">
      <c r="B3" s="116" t="s">
        <v>50</v>
      </c>
      <c r="C3" s="276"/>
      <c r="D3" s="276"/>
      <c r="E3" s="276"/>
      <c r="F3" s="276"/>
      <c r="G3" s="276"/>
      <c r="H3" s="276"/>
      <c r="I3" s="33"/>
      <c r="J3" s="33"/>
      <c r="K3" s="272"/>
      <c r="L3" s="272"/>
      <c r="M3" s="272"/>
    </row>
    <row r="4" spans="2:18" x14ac:dyDescent="0.25">
      <c r="B4" s="4" t="s">
        <v>4</v>
      </c>
      <c r="C4" s="5" t="s">
        <v>128</v>
      </c>
      <c r="D4" s="6" t="s">
        <v>129</v>
      </c>
      <c r="E4" s="6" t="s">
        <v>130</v>
      </c>
      <c r="F4" s="6" t="s">
        <v>131</v>
      </c>
      <c r="G4" s="6" t="s">
        <v>132</v>
      </c>
      <c r="H4" s="6" t="s">
        <v>133</v>
      </c>
      <c r="I4" s="6" t="s">
        <v>134</v>
      </c>
      <c r="J4" s="33"/>
    </row>
    <row r="5" spans="2:18" x14ac:dyDescent="0.25">
      <c r="B5" s="39"/>
      <c r="C5" s="13" t="s">
        <v>5</v>
      </c>
      <c r="D5" s="13">
        <v>1.3450990184040644E-4</v>
      </c>
      <c r="E5" s="13">
        <v>3.7651631479686162E-4</v>
      </c>
      <c r="F5" s="13">
        <v>5.3990754556653743E-4</v>
      </c>
      <c r="G5" s="13">
        <v>1.0123529611992676E-4</v>
      </c>
      <c r="H5" s="13">
        <v>3.3627475460101664E-5</v>
      </c>
      <c r="I5" s="167">
        <v>9.0102589525568108E-6</v>
      </c>
      <c r="J5" s="33"/>
    </row>
    <row r="6" spans="2:18" x14ac:dyDescent="0.25">
      <c r="B6" s="36"/>
      <c r="C6" s="15" t="s">
        <v>6</v>
      </c>
      <c r="D6" s="15">
        <v>1.3829148990427231E-4</v>
      </c>
      <c r="E6" s="15">
        <v>3.0266301268041645E-4</v>
      </c>
      <c r="F6" s="15">
        <v>3.1661121939721904E-4</v>
      </c>
      <c r="G6" s="15">
        <v>9.3155469296909125E-5</v>
      </c>
      <c r="H6" s="15">
        <v>1.8656010096619703E-5</v>
      </c>
      <c r="I6" s="37">
        <v>6.5958956246022608E-6</v>
      </c>
      <c r="J6" s="33"/>
    </row>
    <row r="7" spans="2:18" x14ac:dyDescent="0.25">
      <c r="B7" s="36"/>
      <c r="C7" s="15" t="s">
        <v>20</v>
      </c>
      <c r="D7" s="15">
        <f t="shared" ref="D7:H7" si="0">AVERAGE(D5:D6)</f>
        <v>1.3640069587233936E-4</v>
      </c>
      <c r="E7" s="15">
        <f t="shared" si="0"/>
        <v>3.3958966373863903E-4</v>
      </c>
      <c r="F7" s="15">
        <f t="shared" si="0"/>
        <v>4.2825938248187826E-4</v>
      </c>
      <c r="G7" s="15">
        <f t="shared" si="0"/>
        <v>9.7195382708417942E-5</v>
      </c>
      <c r="H7" s="15">
        <f t="shared" si="0"/>
        <v>2.6141742778360682E-5</v>
      </c>
      <c r="I7" s="37">
        <f>AVERAGE(I5:I6)</f>
        <v>7.8030772885795362E-6</v>
      </c>
      <c r="J7" s="33"/>
    </row>
    <row r="8" spans="2:18" x14ac:dyDescent="0.25">
      <c r="B8" s="36"/>
      <c r="C8" s="15" t="s">
        <v>22</v>
      </c>
      <c r="D8" s="15">
        <f t="shared" ref="D8:I8" si="1">_xlfn.STDEV.S(D5:D6)</f>
        <v>2.6739865636136629E-6</v>
      </c>
      <c r="E8" s="15">
        <f t="shared" si="1"/>
        <v>5.2222170739557179E-5</v>
      </c>
      <c r="F8" s="15">
        <f t="shared" si="1"/>
        <v>1.5789434644836815E-4</v>
      </c>
      <c r="G8" s="15">
        <f t="shared" si="1"/>
        <v>5.7133003373687268E-6</v>
      </c>
      <c r="H8" s="15">
        <f t="shared" si="1"/>
        <v>1.0586424682817614E-5</v>
      </c>
      <c r="I8" s="37">
        <f t="shared" si="1"/>
        <v>1.7072126814447826E-6</v>
      </c>
      <c r="J8" s="33"/>
    </row>
    <row r="9" spans="2:18" x14ac:dyDescent="0.25">
      <c r="B9" s="273"/>
      <c r="C9" s="4" t="s">
        <v>135</v>
      </c>
      <c r="D9" s="5"/>
      <c r="E9" s="5"/>
      <c r="F9" s="5"/>
      <c r="G9" s="5"/>
      <c r="H9" s="5"/>
      <c r="I9" s="40"/>
      <c r="J9" s="33"/>
    </row>
    <row r="10" spans="2:18" x14ac:dyDescent="0.25">
      <c r="B10" s="36"/>
      <c r="C10" s="16" t="s">
        <v>136</v>
      </c>
      <c r="D10" s="16">
        <f t="shared" ref="D10:I11" si="2">D7*1000</f>
        <v>0.13640069587233936</v>
      </c>
      <c r="E10" s="16">
        <f t="shared" si="2"/>
        <v>0.33958966373863902</v>
      </c>
      <c r="F10" s="16">
        <f t="shared" si="2"/>
        <v>0.42825938248187828</v>
      </c>
      <c r="G10" s="16">
        <f t="shared" si="2"/>
        <v>9.7195382708417946E-2</v>
      </c>
      <c r="H10" s="16">
        <f t="shared" si="2"/>
        <v>2.6141742778360681E-2</v>
      </c>
      <c r="I10" s="25">
        <f t="shared" si="2"/>
        <v>7.8030772885795364E-3</v>
      </c>
      <c r="J10" s="33"/>
    </row>
    <row r="11" spans="2:18" x14ac:dyDescent="0.25">
      <c r="B11" s="169"/>
      <c r="C11" s="19" t="s">
        <v>204</v>
      </c>
      <c r="D11" s="153">
        <f>D8*1000</f>
        <v>2.6739865636136628E-3</v>
      </c>
      <c r="E11" s="153">
        <f>E8*1000</f>
        <v>5.2222170739557178E-2</v>
      </c>
      <c r="F11" s="154">
        <f>F8*1000</f>
        <v>0.15789434644836814</v>
      </c>
      <c r="G11" s="153">
        <f t="shared" si="2"/>
        <v>5.7133003373687269E-3</v>
      </c>
      <c r="H11" s="153">
        <f t="shared" si="2"/>
        <v>1.0586424682817614E-2</v>
      </c>
      <c r="I11" s="155">
        <f>I8*1000</f>
        <v>1.7072126814447826E-3</v>
      </c>
      <c r="J11" s="33"/>
    </row>
    <row r="12" spans="2:18" x14ac:dyDescent="0.25">
      <c r="B12" s="33"/>
      <c r="C12" s="33"/>
      <c r="D12" s="33"/>
      <c r="E12" s="33"/>
      <c r="F12" s="33"/>
      <c r="G12" s="33"/>
      <c r="H12" s="33"/>
      <c r="I12" s="33"/>
      <c r="J12" s="33"/>
      <c r="K12" s="272"/>
      <c r="L12" s="272"/>
      <c r="M12" s="272"/>
      <c r="N12" s="272"/>
      <c r="O12" s="272"/>
      <c r="P12" s="272"/>
      <c r="Q12" s="272"/>
    </row>
    <row r="13" spans="2:18" x14ac:dyDescent="0.25">
      <c r="B13" s="4" t="s">
        <v>25</v>
      </c>
      <c r="C13" s="5" t="s">
        <v>128</v>
      </c>
      <c r="D13" s="6" t="s">
        <v>129</v>
      </c>
      <c r="E13" s="6" t="s">
        <v>130</v>
      </c>
      <c r="F13" s="6" t="s">
        <v>131</v>
      </c>
      <c r="G13" s="6" t="s">
        <v>132</v>
      </c>
      <c r="H13" s="6" t="s">
        <v>133</v>
      </c>
      <c r="I13" s="6" t="s">
        <v>134</v>
      </c>
      <c r="J13" s="33"/>
      <c r="L13" s="272"/>
      <c r="M13" s="272"/>
      <c r="N13" s="272"/>
      <c r="O13" s="272"/>
      <c r="P13" s="272"/>
      <c r="Q13" s="272"/>
      <c r="R13" s="272"/>
    </row>
    <row r="14" spans="2:18" x14ac:dyDescent="0.25">
      <c r="B14" s="39"/>
      <c r="C14" s="13" t="s">
        <v>5</v>
      </c>
      <c r="D14" s="13">
        <v>9.0294647781301445E-5</v>
      </c>
      <c r="E14" s="13">
        <v>1.9830380770415938E-4</v>
      </c>
      <c r="F14" s="13">
        <v>1.5504772736069203E-4</v>
      </c>
      <c r="G14" s="13">
        <v>9.7111387177114248E-5</v>
      </c>
      <c r="H14" s="13">
        <v>4.3912767944666011E-5</v>
      </c>
      <c r="I14" s="167">
        <v>7.1184768031067418E-6</v>
      </c>
      <c r="J14" s="33"/>
      <c r="L14" s="272"/>
      <c r="M14" s="272"/>
      <c r="N14" s="272"/>
      <c r="O14" s="272"/>
      <c r="P14" s="274"/>
      <c r="Q14" s="272"/>
      <c r="R14" s="272"/>
    </row>
    <row r="15" spans="2:18" x14ac:dyDescent="0.25">
      <c r="B15" s="36"/>
      <c r="C15" s="15" t="s">
        <v>6</v>
      </c>
      <c r="D15" s="15">
        <v>2.3338508730316016E-4</v>
      </c>
      <c r="E15" s="15">
        <v>1.8121625618030399E-4</v>
      </c>
      <c r="F15" s="15">
        <v>2.4498821985095273E-4</v>
      </c>
      <c r="G15" s="15">
        <v>2.7947367202116281E-4</v>
      </c>
      <c r="H15" s="15">
        <v>4.9575951926039654E-5</v>
      </c>
      <c r="I15" s="37">
        <v>7.3186044260045099E-6</v>
      </c>
      <c r="J15" s="33"/>
      <c r="L15" s="272"/>
      <c r="M15" s="272"/>
      <c r="N15" s="272"/>
      <c r="O15" s="272"/>
      <c r="P15" s="272"/>
      <c r="Q15" s="272"/>
      <c r="R15" s="272"/>
    </row>
    <row r="16" spans="2:18" x14ac:dyDescent="0.25">
      <c r="B16" s="36"/>
      <c r="C16" s="15" t="s">
        <v>20</v>
      </c>
      <c r="D16" s="15">
        <f t="shared" ref="D16:H16" si="3">AVERAGE(D14:D15)</f>
        <v>1.6183986754223081E-4</v>
      </c>
      <c r="E16" s="15">
        <f t="shared" si="3"/>
        <v>1.8976003194223168E-4</v>
      </c>
      <c r="F16" s="15">
        <f t="shared" si="3"/>
        <v>2.0001797360582238E-4</v>
      </c>
      <c r="G16" s="15">
        <f t="shared" si="3"/>
        <v>1.8829252959913853E-4</v>
      </c>
      <c r="H16" s="15">
        <f t="shared" si="3"/>
        <v>4.6744359935352829E-5</v>
      </c>
      <c r="I16" s="37">
        <f>AVERAGE(I14:I15)</f>
        <v>7.2185406145556254E-6</v>
      </c>
      <c r="J16" s="33"/>
      <c r="L16" s="272"/>
      <c r="M16" s="272"/>
      <c r="N16" s="272"/>
      <c r="O16" s="272"/>
      <c r="P16" s="77"/>
      <c r="Q16" s="272"/>
      <c r="R16" s="272"/>
    </row>
    <row r="17" spans="2:18" x14ac:dyDescent="0.25">
      <c r="B17" s="36"/>
      <c r="C17" s="258" t="s">
        <v>22</v>
      </c>
      <c r="D17" s="275">
        <f t="shared" ref="D17:I17" si="4">_xlfn.STDEV.S(D14:D15)</f>
        <v>1.0118022010886985E-4</v>
      </c>
      <c r="E17" s="275">
        <f t="shared" si="4"/>
        <v>1.208272355639267E-5</v>
      </c>
      <c r="F17" s="275">
        <f t="shared" si="4"/>
        <v>6.3597532143121093E-5</v>
      </c>
      <c r="G17" s="275">
        <f t="shared" si="4"/>
        <v>1.289496082458995E-4</v>
      </c>
      <c r="H17" s="275">
        <f t="shared" si="4"/>
        <v>4.0044757963363342E-6</v>
      </c>
      <c r="I17" s="449">
        <f t="shared" si="4"/>
        <v>1.4151159925375604E-7</v>
      </c>
      <c r="J17" s="33"/>
      <c r="L17" s="272"/>
      <c r="M17" s="272"/>
      <c r="N17" s="272"/>
      <c r="O17" s="272"/>
      <c r="P17" s="78"/>
      <c r="Q17" s="272"/>
      <c r="R17" s="272"/>
    </row>
    <row r="18" spans="2:18" x14ac:dyDescent="0.25">
      <c r="B18" s="273"/>
      <c r="C18" s="4" t="s">
        <v>135</v>
      </c>
      <c r="D18" s="5"/>
      <c r="E18" s="5"/>
      <c r="F18" s="5"/>
      <c r="G18" s="5"/>
      <c r="H18" s="5"/>
      <c r="I18" s="40"/>
      <c r="J18" s="33"/>
      <c r="K18" s="272"/>
      <c r="L18" s="272"/>
      <c r="M18" s="272"/>
      <c r="N18" s="272"/>
      <c r="O18" s="272"/>
      <c r="P18" s="272"/>
      <c r="Q18" s="272"/>
    </row>
    <row r="19" spans="2:18" x14ac:dyDescent="0.25">
      <c r="B19" s="36"/>
      <c r="C19" s="16" t="s">
        <v>136</v>
      </c>
      <c r="D19" s="16">
        <f t="shared" ref="D19:I20" si="5">D16*1000</f>
        <v>0.16183986754223081</v>
      </c>
      <c r="E19" s="16">
        <f t="shared" si="5"/>
        <v>0.18976003194223168</v>
      </c>
      <c r="F19" s="16">
        <f t="shared" si="5"/>
        <v>0.20001797360582238</v>
      </c>
      <c r="G19" s="16">
        <f t="shared" si="5"/>
        <v>0.18829252959913853</v>
      </c>
      <c r="H19" s="16">
        <f t="shared" si="5"/>
        <v>4.6744359935352829E-2</v>
      </c>
      <c r="I19" s="25">
        <f t="shared" si="5"/>
        <v>7.218540614555625E-3</v>
      </c>
      <c r="J19" s="33"/>
      <c r="K19" s="272"/>
      <c r="L19" s="272"/>
      <c r="M19" s="272"/>
      <c r="N19" s="272"/>
      <c r="O19" s="77"/>
      <c r="P19" s="272"/>
      <c r="Q19" s="272"/>
    </row>
    <row r="20" spans="2:18" x14ac:dyDescent="0.25">
      <c r="B20" s="169"/>
      <c r="C20" s="19" t="s">
        <v>204</v>
      </c>
      <c r="D20" s="153">
        <f t="shared" si="5"/>
        <v>0.10118022010886986</v>
      </c>
      <c r="E20" s="153">
        <f t="shared" si="5"/>
        <v>1.208272355639267E-2</v>
      </c>
      <c r="F20" s="154">
        <f t="shared" si="5"/>
        <v>6.3597532143121097E-2</v>
      </c>
      <c r="G20" s="153">
        <f t="shared" si="5"/>
        <v>0.12894960824589952</v>
      </c>
      <c r="H20" s="153">
        <f t="shared" si="5"/>
        <v>4.0044757963363341E-3</v>
      </c>
      <c r="I20" s="155">
        <f t="shared" si="5"/>
        <v>1.4151159925375605E-4</v>
      </c>
      <c r="J20" s="33"/>
      <c r="K20" s="272"/>
      <c r="M20" s="77"/>
      <c r="N20" s="77"/>
      <c r="O20" s="77"/>
      <c r="P20" s="77"/>
      <c r="Q20" s="277"/>
      <c r="R20" s="278"/>
    </row>
    <row r="21" spans="2:18" x14ac:dyDescent="0.25">
      <c r="B21" s="33"/>
      <c r="C21" s="79"/>
      <c r="D21" s="79"/>
      <c r="E21" s="79"/>
      <c r="F21" s="79"/>
      <c r="G21" s="79"/>
      <c r="H21" s="79"/>
      <c r="I21" s="79"/>
      <c r="J21" s="79"/>
      <c r="K21" s="272"/>
      <c r="M21" s="77"/>
      <c r="N21" s="77"/>
      <c r="O21" s="77"/>
      <c r="P21" s="77"/>
      <c r="Q21" s="272"/>
      <c r="R21" s="272"/>
    </row>
    <row r="22" spans="2:18" x14ac:dyDescent="0.25">
      <c r="C22" s="77"/>
      <c r="D22" s="77"/>
      <c r="E22" s="77"/>
      <c r="F22" s="77"/>
      <c r="G22" s="77"/>
      <c r="H22" s="77"/>
      <c r="I22" s="77"/>
      <c r="J22" s="77"/>
      <c r="K22" s="272"/>
      <c r="L22" s="272"/>
      <c r="M22" s="77"/>
      <c r="N22" s="77"/>
      <c r="O22" s="272"/>
      <c r="P22" s="272"/>
      <c r="Q22" s="272"/>
    </row>
    <row r="23" spans="2:18" x14ac:dyDescent="0.25">
      <c r="C23" s="77"/>
      <c r="D23" s="77"/>
      <c r="E23" s="77"/>
      <c r="F23" s="77"/>
      <c r="G23" s="77"/>
      <c r="H23" s="77"/>
      <c r="I23" s="77"/>
      <c r="J23" s="77"/>
      <c r="K23" s="272"/>
      <c r="L23" s="272"/>
      <c r="M23" s="77"/>
      <c r="N23" s="77"/>
      <c r="O23" s="272"/>
      <c r="P23" s="272"/>
      <c r="Q23" s="272"/>
    </row>
    <row r="24" spans="2:18" x14ac:dyDescent="0.25">
      <c r="C24" s="272"/>
      <c r="D24" s="272"/>
      <c r="E24" s="272"/>
      <c r="F24" s="272"/>
      <c r="G24" s="272"/>
      <c r="H24" s="272"/>
      <c r="I24" s="272"/>
      <c r="J24" s="272"/>
      <c r="K24" s="272"/>
      <c r="L24" s="272"/>
      <c r="M24" s="272"/>
      <c r="N24" s="272"/>
      <c r="O24" s="272"/>
      <c r="P24" s="272"/>
      <c r="Q24" s="272"/>
    </row>
    <row r="25" spans="2:18" x14ac:dyDescent="0.25">
      <c r="C25" s="272"/>
      <c r="D25" s="272"/>
      <c r="E25" s="77"/>
      <c r="F25" s="77"/>
      <c r="G25" s="272"/>
      <c r="H25" s="272"/>
      <c r="I25" s="272"/>
      <c r="J25" s="272"/>
      <c r="K25" s="272"/>
      <c r="L25" s="272"/>
      <c r="M25" s="272"/>
      <c r="N25" s="272"/>
      <c r="O25" s="272"/>
      <c r="P25" s="272"/>
      <c r="Q25" s="272"/>
    </row>
    <row r="26" spans="2:18" x14ac:dyDescent="0.25">
      <c r="C26" s="272"/>
      <c r="D26" s="78"/>
      <c r="E26" s="78"/>
      <c r="F26" s="272"/>
      <c r="G26" s="272"/>
      <c r="H26" s="272"/>
      <c r="I26" s="272"/>
      <c r="J26" s="272"/>
      <c r="K26" s="272"/>
      <c r="L26" s="272"/>
      <c r="M26" s="272"/>
      <c r="N26" s="272"/>
      <c r="O26" s="272"/>
      <c r="P26" s="272"/>
      <c r="Q26" s="272"/>
    </row>
    <row r="27" spans="2:18" x14ac:dyDescent="0.25">
      <c r="C27" s="272"/>
      <c r="D27" s="279"/>
      <c r="E27" s="279"/>
      <c r="F27" s="272"/>
      <c r="G27" s="272"/>
      <c r="H27" s="272"/>
      <c r="I27" s="272"/>
      <c r="J27" s="272"/>
      <c r="K27" s="272"/>
      <c r="L27" s="272"/>
      <c r="M27" s="272"/>
      <c r="N27" s="272"/>
      <c r="O27" s="272"/>
      <c r="P27" s="272"/>
      <c r="Q27" s="280"/>
    </row>
    <row r="28" spans="2:18" x14ac:dyDescent="0.25">
      <c r="C28" s="272"/>
      <c r="D28" s="281"/>
      <c r="E28" s="281"/>
      <c r="F28" s="272"/>
      <c r="G28" s="272"/>
      <c r="H28" s="272"/>
      <c r="I28" s="272"/>
      <c r="J28" s="272"/>
      <c r="K28" s="272"/>
      <c r="L28" s="272"/>
      <c r="M28" s="272"/>
      <c r="N28" s="272"/>
      <c r="O28" s="272"/>
      <c r="P28" s="272"/>
      <c r="Q28" s="272"/>
    </row>
    <row r="29" spans="2:18" x14ac:dyDescent="0.25">
      <c r="C29" s="272"/>
      <c r="D29" s="282"/>
      <c r="E29" s="282"/>
      <c r="F29" s="272"/>
      <c r="G29" s="272"/>
      <c r="H29" s="272"/>
      <c r="I29" s="272"/>
      <c r="J29" s="272"/>
      <c r="K29" s="272"/>
      <c r="L29" s="272"/>
      <c r="M29" s="272"/>
      <c r="N29" s="272"/>
      <c r="O29" s="272"/>
      <c r="P29" s="272"/>
      <c r="Q29" s="272"/>
    </row>
    <row r="30" spans="2:18" x14ac:dyDescent="0.25">
      <c r="C30" s="272"/>
      <c r="D30" s="277"/>
      <c r="E30" s="277"/>
      <c r="F30" s="272"/>
      <c r="G30" s="272"/>
      <c r="H30" s="272"/>
      <c r="I30" s="272"/>
      <c r="J30" s="272"/>
      <c r="K30" s="272"/>
      <c r="L30" s="272"/>
      <c r="M30" s="272"/>
      <c r="N30" s="272"/>
      <c r="O30" s="272"/>
      <c r="P30" s="272"/>
      <c r="Q30" s="272"/>
    </row>
    <row r="31" spans="2:18" x14ac:dyDescent="0.25">
      <c r="C31" s="272"/>
      <c r="D31" s="278"/>
      <c r="E31" s="278"/>
      <c r="F31" s="272"/>
      <c r="G31" s="272"/>
      <c r="H31" s="272"/>
      <c r="I31" s="272"/>
      <c r="J31" s="272"/>
      <c r="K31" s="272"/>
      <c r="L31" s="272"/>
      <c r="M31" s="272"/>
      <c r="N31" s="272"/>
      <c r="O31" s="272"/>
      <c r="P31" s="272"/>
      <c r="Q31" s="272"/>
    </row>
    <row r="32" spans="2:18" x14ac:dyDescent="0.25">
      <c r="C32" s="272"/>
      <c r="D32" s="272"/>
      <c r="E32" s="272"/>
      <c r="F32" s="272"/>
      <c r="G32" s="272"/>
      <c r="H32" s="272"/>
      <c r="I32" s="272"/>
      <c r="J32" s="272"/>
      <c r="K32" s="272"/>
      <c r="L32" s="272"/>
      <c r="M32" s="272"/>
      <c r="N32" s="272"/>
      <c r="O32" s="272"/>
      <c r="P32" s="272"/>
      <c r="Q32" s="272"/>
    </row>
    <row r="33" spans="3:17" x14ac:dyDescent="0.25">
      <c r="C33" s="272"/>
      <c r="D33" s="272"/>
      <c r="E33" s="272"/>
      <c r="F33" s="272"/>
      <c r="G33" s="272"/>
      <c r="H33" s="272"/>
      <c r="I33" s="272"/>
      <c r="J33" s="272"/>
      <c r="K33" s="272"/>
      <c r="L33" s="272"/>
      <c r="M33" s="272"/>
      <c r="N33" s="272"/>
      <c r="O33" s="272"/>
      <c r="P33" s="272"/>
      <c r="Q33" s="272"/>
    </row>
    <row r="34" spans="3:17" x14ac:dyDescent="0.25">
      <c r="C34" s="272"/>
      <c r="D34" s="272"/>
      <c r="E34" s="272"/>
      <c r="F34" s="272"/>
      <c r="G34" s="272"/>
      <c r="H34" s="272"/>
      <c r="I34" s="272"/>
      <c r="J34" s="272"/>
      <c r="K34" s="272"/>
      <c r="L34" s="272"/>
      <c r="M34" s="272"/>
      <c r="N34" s="272"/>
      <c r="O34" s="272"/>
      <c r="P34" s="272"/>
      <c r="Q34" s="272"/>
    </row>
    <row r="35" spans="3:17" x14ac:dyDescent="0.25">
      <c r="C35" s="272"/>
      <c r="D35" s="272"/>
      <c r="E35" s="272"/>
      <c r="F35" s="272"/>
      <c r="G35" s="272"/>
      <c r="H35" s="272"/>
      <c r="I35" s="272"/>
      <c r="J35" s="272"/>
      <c r="K35" s="272"/>
      <c r="L35" s="272"/>
      <c r="M35" s="272"/>
      <c r="N35" s="272"/>
      <c r="O35" s="272"/>
      <c r="P35" s="272"/>
      <c r="Q35" s="272"/>
    </row>
    <row r="36" spans="3:17" x14ac:dyDescent="0.25">
      <c r="C36" s="272"/>
      <c r="D36" s="272"/>
      <c r="E36" s="272"/>
      <c r="F36" s="272"/>
      <c r="G36" s="272"/>
      <c r="H36" s="272"/>
      <c r="I36" s="272"/>
      <c r="J36" s="272"/>
      <c r="K36" s="272"/>
      <c r="L36" s="272"/>
      <c r="M36" s="272"/>
      <c r="N36" s="272"/>
      <c r="O36" s="272"/>
      <c r="P36" s="272"/>
      <c r="Q36" s="272"/>
    </row>
    <row r="37" spans="3:17" x14ac:dyDescent="0.25">
      <c r="C37" s="272"/>
      <c r="D37" s="272"/>
      <c r="E37" s="272"/>
      <c r="F37" s="272"/>
      <c r="G37" s="272"/>
      <c r="H37" s="272"/>
      <c r="I37" s="272"/>
      <c r="J37" s="272"/>
      <c r="K37" s="272"/>
      <c r="L37" s="272"/>
      <c r="M37" s="272"/>
      <c r="N37" s="272"/>
      <c r="O37" s="272"/>
      <c r="P37" s="272"/>
      <c r="Q37" s="272"/>
    </row>
    <row r="38" spans="3:17" x14ac:dyDescent="0.25">
      <c r="C38" s="272"/>
      <c r="D38" s="274"/>
      <c r="E38" s="272"/>
      <c r="F38" s="272"/>
      <c r="G38" s="272"/>
      <c r="H38" s="272"/>
      <c r="I38" s="272"/>
      <c r="J38" s="272"/>
      <c r="K38" s="272"/>
      <c r="L38" s="272"/>
      <c r="M38" s="272"/>
      <c r="N38" s="272"/>
      <c r="O38" s="272"/>
      <c r="P38" s="272"/>
      <c r="Q38" s="272"/>
    </row>
    <row r="39" spans="3:17" x14ac:dyDescent="0.25">
      <c r="C39" s="272"/>
      <c r="D39" s="272"/>
      <c r="E39" s="272"/>
      <c r="F39" s="272"/>
      <c r="G39" s="272"/>
      <c r="H39" s="272"/>
      <c r="I39" s="272"/>
      <c r="J39" s="272"/>
      <c r="K39" s="272"/>
      <c r="L39" s="272"/>
      <c r="M39" s="272"/>
      <c r="N39" s="272"/>
      <c r="O39" s="272"/>
      <c r="P39" s="272"/>
      <c r="Q39" s="272"/>
    </row>
    <row r="40" spans="3:17" x14ac:dyDescent="0.25">
      <c r="C40" s="272"/>
      <c r="D40" s="272"/>
      <c r="E40" s="272"/>
      <c r="F40" s="272"/>
      <c r="G40" s="272"/>
      <c r="H40" s="272"/>
      <c r="I40" s="272"/>
      <c r="J40" s="272"/>
      <c r="K40" s="272"/>
      <c r="L40" s="272"/>
      <c r="M40" s="272"/>
      <c r="N40" s="272"/>
      <c r="O40" s="272"/>
      <c r="P40" s="272"/>
      <c r="Q40" s="272"/>
    </row>
    <row r="41" spans="3:17" x14ac:dyDescent="0.25">
      <c r="C41" s="272"/>
      <c r="D41" s="272"/>
      <c r="E41" s="272"/>
      <c r="F41" s="272"/>
      <c r="G41" s="272"/>
      <c r="H41" s="272"/>
      <c r="I41" s="272"/>
      <c r="J41" s="272"/>
      <c r="K41" s="272"/>
      <c r="L41" s="272"/>
      <c r="M41" s="272"/>
      <c r="N41" s="272"/>
      <c r="O41" s="272"/>
      <c r="P41" s="272"/>
      <c r="Q41" s="272"/>
    </row>
    <row r="42" spans="3:17" x14ac:dyDescent="0.25">
      <c r="C42" s="272"/>
      <c r="D42" s="272"/>
      <c r="E42" s="272"/>
      <c r="F42" s="272"/>
      <c r="G42" s="272"/>
      <c r="H42" s="272"/>
      <c r="I42" s="272"/>
      <c r="J42" s="272"/>
      <c r="K42" s="272"/>
      <c r="L42" s="272"/>
      <c r="M42" s="272"/>
      <c r="N42" s="272"/>
      <c r="O42" s="272"/>
      <c r="P42" s="272"/>
      <c r="Q42" s="272"/>
    </row>
    <row r="43" spans="3:17" x14ac:dyDescent="0.25">
      <c r="C43" s="272"/>
      <c r="D43" s="272"/>
      <c r="E43" s="272"/>
      <c r="F43" s="272"/>
      <c r="G43" s="272"/>
      <c r="H43" s="272"/>
      <c r="I43" s="272"/>
      <c r="J43" s="272"/>
      <c r="K43" s="272"/>
      <c r="L43" s="272"/>
      <c r="M43" s="272"/>
      <c r="N43" s="272"/>
      <c r="O43" s="272"/>
      <c r="P43" s="272"/>
      <c r="Q43" s="272"/>
    </row>
    <row r="44" spans="3:17" x14ac:dyDescent="0.25">
      <c r="C44" s="272"/>
      <c r="D44" s="272"/>
      <c r="E44" s="272"/>
      <c r="F44" s="272"/>
      <c r="G44" s="272"/>
      <c r="H44" s="272"/>
      <c r="I44" s="272"/>
      <c r="J44" s="272"/>
      <c r="K44" s="272"/>
      <c r="L44" s="272"/>
      <c r="M44" s="272"/>
      <c r="N44" s="272"/>
      <c r="O44" s="272"/>
      <c r="P44" s="272"/>
      <c r="Q44" s="272"/>
    </row>
    <row r="45" spans="3:17" x14ac:dyDescent="0.25">
      <c r="C45" s="272"/>
      <c r="D45" s="272"/>
      <c r="E45" s="272"/>
      <c r="F45" s="272"/>
      <c r="G45" s="272"/>
      <c r="H45" s="272"/>
      <c r="I45" s="272"/>
      <c r="J45" s="272"/>
      <c r="K45" s="272"/>
      <c r="L45" s="272"/>
      <c r="M45" s="272"/>
      <c r="N45" s="272"/>
      <c r="O45" s="272"/>
      <c r="P45" s="272"/>
      <c r="Q45" s="272"/>
    </row>
    <row r="46" spans="3:17" x14ac:dyDescent="0.25">
      <c r="C46" s="272"/>
      <c r="D46" s="272"/>
      <c r="E46" s="272"/>
      <c r="F46" s="272"/>
      <c r="G46" s="272"/>
      <c r="H46" s="272"/>
      <c r="I46" s="272"/>
      <c r="J46" s="272"/>
      <c r="K46" s="272"/>
      <c r="L46" s="272"/>
      <c r="M46" s="272"/>
      <c r="N46" s="272"/>
      <c r="O46" s="272"/>
      <c r="P46" s="272"/>
      <c r="Q46" s="272"/>
    </row>
    <row r="47" spans="3:17" x14ac:dyDescent="0.25">
      <c r="C47" s="272"/>
      <c r="D47" s="272"/>
      <c r="E47" s="272"/>
      <c r="F47" s="272"/>
      <c r="G47" s="272"/>
      <c r="H47" s="272"/>
      <c r="I47" s="272"/>
      <c r="J47" s="272"/>
      <c r="K47" s="272"/>
      <c r="L47" s="272"/>
      <c r="M47" s="272"/>
      <c r="N47" s="272"/>
      <c r="O47" s="272"/>
      <c r="P47" s="272"/>
      <c r="Q47" s="272"/>
    </row>
    <row r="50" spans="2:8" x14ac:dyDescent="0.25">
      <c r="B50" s="272"/>
      <c r="C50" s="272"/>
      <c r="D50" s="272"/>
      <c r="E50" s="272"/>
      <c r="F50" s="272"/>
      <c r="G50" s="272"/>
      <c r="H50" s="272"/>
    </row>
    <row r="51" spans="2:8" x14ac:dyDescent="0.25">
      <c r="B51" s="272"/>
      <c r="C51" s="272"/>
      <c r="D51" s="272"/>
      <c r="E51" s="272"/>
      <c r="F51" s="272"/>
      <c r="G51" s="272"/>
      <c r="H51" s="272"/>
    </row>
    <row r="52" spans="2:8" x14ac:dyDescent="0.25">
      <c r="B52" s="77"/>
      <c r="C52" s="77"/>
      <c r="D52" s="77"/>
      <c r="E52" s="77"/>
      <c r="F52" s="77"/>
      <c r="G52" s="77"/>
      <c r="H52" s="77"/>
    </row>
    <row r="53" spans="2:8" x14ac:dyDescent="0.25">
      <c r="B53" s="77"/>
      <c r="C53" s="283"/>
      <c r="D53" s="272"/>
      <c r="E53" s="272"/>
      <c r="F53" s="272"/>
      <c r="G53" s="272"/>
      <c r="H53" s="272"/>
    </row>
    <row r="54" spans="2:8" x14ac:dyDescent="0.25">
      <c r="B54" s="272"/>
      <c r="C54" s="272"/>
      <c r="D54" s="272"/>
      <c r="E54" s="272"/>
      <c r="F54" s="272"/>
      <c r="G54" s="272"/>
      <c r="H54" s="272"/>
    </row>
    <row r="55" spans="2:8" x14ac:dyDescent="0.25">
      <c r="B55" s="272"/>
      <c r="C55" s="272"/>
      <c r="D55" s="272"/>
      <c r="E55" s="272"/>
      <c r="F55" s="272"/>
      <c r="G55" s="272"/>
      <c r="H55" s="272"/>
    </row>
    <row r="56" spans="2:8" x14ac:dyDescent="0.25">
      <c r="B56" s="272"/>
      <c r="C56" s="272"/>
      <c r="D56" s="272"/>
      <c r="E56" s="272"/>
      <c r="F56" s="272"/>
      <c r="G56" s="272"/>
      <c r="H56" s="272"/>
    </row>
    <row r="57" spans="2:8" x14ac:dyDescent="0.25">
      <c r="B57" s="272"/>
      <c r="C57" s="272"/>
      <c r="D57" s="272"/>
      <c r="E57" s="272"/>
      <c r="F57" s="272"/>
      <c r="G57" s="272"/>
      <c r="H57" s="272"/>
    </row>
    <row r="58" spans="2:8" x14ac:dyDescent="0.25">
      <c r="B58" s="272"/>
      <c r="C58" s="272"/>
      <c r="D58" s="272"/>
      <c r="E58" s="272"/>
      <c r="F58" s="272"/>
      <c r="G58" s="272"/>
      <c r="H58" s="272"/>
    </row>
    <row r="59" spans="2:8" x14ac:dyDescent="0.25">
      <c r="B59" s="272"/>
      <c r="C59" s="283"/>
      <c r="D59" s="272"/>
      <c r="E59" s="272"/>
      <c r="F59" s="272"/>
      <c r="G59" s="272"/>
      <c r="H59" s="272"/>
    </row>
    <row r="60" spans="2:8" x14ac:dyDescent="0.25">
      <c r="B60" s="272"/>
      <c r="C60" s="272"/>
      <c r="D60" s="272"/>
      <c r="E60" s="272"/>
      <c r="F60" s="272"/>
      <c r="G60" s="272"/>
      <c r="H60" s="272"/>
    </row>
    <row r="61" spans="2:8" x14ac:dyDescent="0.25">
      <c r="B61" s="272"/>
      <c r="C61" s="272"/>
      <c r="D61" s="272"/>
      <c r="E61" s="272"/>
      <c r="F61" s="272"/>
      <c r="G61" s="272"/>
      <c r="H61" s="272"/>
    </row>
    <row r="62" spans="2:8" x14ac:dyDescent="0.25">
      <c r="B62" s="272"/>
      <c r="C62" s="272"/>
      <c r="D62" s="272"/>
      <c r="E62" s="272"/>
      <c r="F62" s="77"/>
      <c r="G62" s="272"/>
      <c r="H62" s="272"/>
    </row>
    <row r="63" spans="2:8" x14ac:dyDescent="0.25">
      <c r="B63" s="272"/>
      <c r="C63" s="272"/>
      <c r="D63" s="272"/>
      <c r="E63" s="272"/>
      <c r="F63" s="77"/>
      <c r="G63" s="272"/>
      <c r="H63" s="272"/>
    </row>
    <row r="64" spans="2:8" x14ac:dyDescent="0.25">
      <c r="B64" s="272"/>
      <c r="C64" s="272"/>
      <c r="D64" s="272"/>
      <c r="E64" s="272"/>
      <c r="F64" s="77"/>
      <c r="G64" s="272"/>
      <c r="H64" s="272"/>
    </row>
    <row r="65" spans="2:8" x14ac:dyDescent="0.25">
      <c r="B65" s="272"/>
      <c r="C65" s="284"/>
      <c r="D65" s="272"/>
      <c r="E65" s="272"/>
      <c r="F65" s="272"/>
      <c r="G65" s="272"/>
      <c r="H65" s="272"/>
    </row>
    <row r="66" spans="2:8" x14ac:dyDescent="0.25">
      <c r="B66" s="272"/>
      <c r="C66" s="275"/>
      <c r="D66" s="272"/>
      <c r="E66" s="77"/>
      <c r="F66" s="272"/>
      <c r="G66" s="272"/>
      <c r="H66" s="272"/>
    </row>
    <row r="67" spans="2:8" x14ac:dyDescent="0.25">
      <c r="B67" s="272"/>
      <c r="C67" s="275"/>
      <c r="D67" s="272"/>
      <c r="E67" s="77"/>
      <c r="F67" s="272"/>
      <c r="G67" s="272"/>
      <c r="H67" s="272"/>
    </row>
    <row r="68" spans="2:8" x14ac:dyDescent="0.25">
      <c r="B68" s="272"/>
      <c r="C68" s="275"/>
      <c r="D68" s="272"/>
      <c r="E68" s="78"/>
      <c r="F68" s="272"/>
      <c r="G68" s="272"/>
      <c r="H68" s="272"/>
    </row>
    <row r="69" spans="2:8" x14ac:dyDescent="0.25">
      <c r="B69" s="272"/>
      <c r="C69" s="275"/>
      <c r="D69" s="272"/>
      <c r="E69" s="272"/>
      <c r="F69" s="272"/>
      <c r="G69" s="272"/>
      <c r="H69" s="272"/>
    </row>
    <row r="70" spans="2:8" x14ac:dyDescent="0.25">
      <c r="B70" s="272"/>
      <c r="C70" s="275"/>
      <c r="D70" s="272"/>
      <c r="E70" s="272"/>
      <c r="F70" s="77"/>
      <c r="G70" s="272"/>
      <c r="H70" s="272"/>
    </row>
    <row r="71" spans="2:8" x14ac:dyDescent="0.25">
      <c r="B71" s="272"/>
      <c r="C71" s="275"/>
      <c r="D71" s="272"/>
      <c r="E71" s="272"/>
      <c r="F71" s="272"/>
      <c r="G71" s="272"/>
      <c r="H71" s="272"/>
    </row>
    <row r="72" spans="2:8" x14ac:dyDescent="0.25">
      <c r="B72" s="272"/>
      <c r="C72" s="275"/>
      <c r="D72" s="77"/>
      <c r="E72" s="77"/>
      <c r="F72" s="77"/>
      <c r="G72" s="272"/>
      <c r="H72" s="272"/>
    </row>
    <row r="73" spans="2:8" x14ac:dyDescent="0.25">
      <c r="B73" s="272"/>
      <c r="C73" s="284"/>
      <c r="D73" s="272"/>
      <c r="E73" s="272"/>
      <c r="F73" s="272"/>
      <c r="G73" s="272"/>
      <c r="H73" s="272"/>
    </row>
    <row r="74" spans="2:8" x14ac:dyDescent="0.25">
      <c r="B74" s="272"/>
      <c r="C74" s="275"/>
      <c r="D74" s="272"/>
      <c r="E74" s="272"/>
      <c r="F74" s="272"/>
      <c r="G74" s="272"/>
      <c r="H74" s="272"/>
    </row>
    <row r="75" spans="2:8" x14ac:dyDescent="0.25">
      <c r="B75" s="272"/>
      <c r="C75" s="275"/>
      <c r="D75" s="272"/>
      <c r="E75" s="272"/>
      <c r="F75" s="272"/>
      <c r="G75" s="272"/>
      <c r="H75" s="272"/>
    </row>
    <row r="76" spans="2:8" x14ac:dyDescent="0.25">
      <c r="B76" s="272"/>
      <c r="C76" s="272"/>
      <c r="D76" s="272"/>
      <c r="E76" s="272"/>
      <c r="F76" s="272"/>
      <c r="G76" s="272"/>
      <c r="H76" s="272"/>
    </row>
    <row r="77" spans="2:8" x14ac:dyDescent="0.25">
      <c r="B77" s="272"/>
      <c r="C77" s="272"/>
      <c r="D77" s="272"/>
      <c r="E77" s="272"/>
      <c r="F77" s="272"/>
      <c r="G77" s="272"/>
      <c r="H77" s="272"/>
    </row>
    <row r="78" spans="2:8" x14ac:dyDescent="0.25">
      <c r="B78" s="272"/>
      <c r="C78" s="272"/>
      <c r="D78" s="272"/>
      <c r="E78" s="272"/>
      <c r="F78" s="77"/>
      <c r="G78" s="272"/>
      <c r="H78" s="272"/>
    </row>
    <row r="79" spans="2:8" x14ac:dyDescent="0.25">
      <c r="B79" s="272"/>
      <c r="C79" s="272"/>
      <c r="D79" s="272"/>
      <c r="E79" s="272"/>
      <c r="F79" s="272"/>
      <c r="G79" s="272"/>
      <c r="H79" s="272"/>
    </row>
    <row r="80" spans="2:8" x14ac:dyDescent="0.25">
      <c r="B80" s="272"/>
      <c r="C80" s="272"/>
      <c r="E80" s="77"/>
      <c r="F80" s="77"/>
      <c r="G80" s="272"/>
      <c r="H80" s="272"/>
    </row>
    <row r="81" spans="2:8" x14ac:dyDescent="0.25">
      <c r="B81" s="272"/>
      <c r="C81" s="272"/>
      <c r="D81" s="272"/>
      <c r="E81" s="272"/>
      <c r="F81" s="272"/>
      <c r="G81" s="272"/>
      <c r="H81" s="272"/>
    </row>
    <row r="82" spans="2:8" x14ac:dyDescent="0.25">
      <c r="B82" s="272"/>
      <c r="C82" s="272"/>
      <c r="D82" s="272"/>
      <c r="E82" s="272"/>
      <c r="F82" s="272"/>
      <c r="G82" s="272"/>
      <c r="H82" s="272"/>
    </row>
    <row r="83" spans="2:8" x14ac:dyDescent="0.25">
      <c r="B83" s="272"/>
      <c r="C83" s="272"/>
      <c r="D83" s="272"/>
      <c r="E83" s="272"/>
      <c r="F83" s="272"/>
      <c r="G83" s="272"/>
      <c r="H83" s="272"/>
    </row>
    <row r="84" spans="2:8" x14ac:dyDescent="0.25">
      <c r="B84" s="272"/>
      <c r="C84" s="272"/>
      <c r="D84" s="272"/>
      <c r="E84" s="272"/>
      <c r="F84" s="77"/>
      <c r="G84" s="272"/>
      <c r="H84" s="272"/>
    </row>
    <row r="85" spans="2:8" x14ac:dyDescent="0.25">
      <c r="B85" s="272"/>
      <c r="C85" s="272"/>
      <c r="D85" s="272"/>
      <c r="E85" s="272"/>
      <c r="F85" s="272"/>
      <c r="G85" s="272"/>
      <c r="H85" s="272"/>
    </row>
    <row r="86" spans="2:8" x14ac:dyDescent="0.25">
      <c r="B86" s="272"/>
      <c r="C86" s="272"/>
      <c r="D86" s="77"/>
      <c r="E86" s="77"/>
      <c r="F86" s="77"/>
      <c r="G86" s="272"/>
      <c r="H86" s="272"/>
    </row>
    <row r="87" spans="2:8" x14ac:dyDescent="0.25">
      <c r="B87" s="272"/>
      <c r="C87" s="285"/>
      <c r="D87" s="272"/>
      <c r="E87" s="272"/>
      <c r="F87" s="272"/>
      <c r="G87" s="272"/>
      <c r="H87" s="272"/>
    </row>
    <row r="88" spans="2:8" x14ac:dyDescent="0.25">
      <c r="B88" s="272"/>
      <c r="C88" s="272"/>
      <c r="D88" s="272"/>
      <c r="E88" s="272"/>
      <c r="F88" s="272"/>
      <c r="G88" s="272"/>
      <c r="H88" s="272"/>
    </row>
    <row r="89" spans="2:8" x14ac:dyDescent="0.25">
      <c r="B89" s="272"/>
      <c r="C89" s="272"/>
      <c r="D89" s="272"/>
      <c r="E89" s="272"/>
      <c r="F89" s="272"/>
      <c r="G89" s="272"/>
      <c r="H89" s="272"/>
    </row>
  </sheetData>
  <mergeCells count="1">
    <mergeCell ref="B2:G2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1"/>
  <dimension ref="B2:I48"/>
  <sheetViews>
    <sheetView zoomScale="60" zoomScaleNormal="60" workbookViewId="0"/>
  </sheetViews>
  <sheetFormatPr defaultColWidth="9.140625" defaultRowHeight="15" x14ac:dyDescent="0.25"/>
  <cols>
    <col min="1" max="1" width="2.28515625" style="255" customWidth="1"/>
    <col min="2" max="2" width="19.28515625" style="255" customWidth="1"/>
    <col min="3" max="3" width="18.5703125" style="255" bestFit="1" customWidth="1"/>
    <col min="4" max="4" width="55" style="255" customWidth="1"/>
    <col min="5" max="5" width="9.140625" style="255"/>
    <col min="6" max="7" width="9" style="255" bestFit="1" customWidth="1"/>
    <col min="8" max="8" width="27.140625" style="255" bestFit="1" customWidth="1"/>
    <col min="9" max="9" width="29.7109375" style="255" bestFit="1" customWidth="1"/>
    <col min="10" max="10" width="9.140625" style="255"/>
    <col min="11" max="11" width="11.7109375" style="255" bestFit="1" customWidth="1"/>
    <col min="12" max="12" width="9.42578125" style="255" bestFit="1" customWidth="1"/>
    <col min="13" max="13" width="30.42578125" style="255" customWidth="1"/>
    <col min="14" max="16384" width="9.140625" style="255"/>
  </cols>
  <sheetData>
    <row r="2" spans="2:9" x14ac:dyDescent="0.25">
      <c r="B2" s="306" t="s">
        <v>0</v>
      </c>
      <c r="C2" s="34"/>
      <c r="D2" s="34"/>
      <c r="E2" s="34"/>
      <c r="F2" s="34"/>
      <c r="G2" s="34"/>
      <c r="H2" s="34"/>
    </row>
    <row r="3" spans="2:9" x14ac:dyDescent="0.25">
      <c r="B3" s="359" t="s">
        <v>50</v>
      </c>
      <c r="E3" s="34"/>
      <c r="F3" s="34"/>
      <c r="G3" s="345"/>
      <c r="H3" s="34"/>
    </row>
    <row r="4" spans="2:9" x14ac:dyDescent="0.25">
      <c r="B4" s="304" t="s">
        <v>4</v>
      </c>
      <c r="C4" s="312" t="s">
        <v>262</v>
      </c>
      <c r="D4" s="360" t="s">
        <v>255</v>
      </c>
      <c r="E4" s="34"/>
      <c r="F4" s="34"/>
      <c r="G4" s="34"/>
      <c r="H4" s="34"/>
    </row>
    <row r="5" spans="2:9" x14ac:dyDescent="0.25">
      <c r="B5" s="361"/>
      <c r="C5" s="144" t="s">
        <v>5</v>
      </c>
      <c r="D5" s="145">
        <v>1992.6224999999997</v>
      </c>
      <c r="E5" s="34"/>
      <c r="F5" s="461"/>
      <c r="G5" s="461"/>
      <c r="H5" s="461"/>
    </row>
    <row r="6" spans="2:9" x14ac:dyDescent="0.25">
      <c r="B6" s="301"/>
      <c r="C6" s="146" t="s">
        <v>6</v>
      </c>
      <c r="D6" s="147">
        <v>1932.2399999999998</v>
      </c>
      <c r="E6" s="34"/>
      <c r="F6" s="358"/>
      <c r="G6" s="358"/>
      <c r="H6" s="358"/>
    </row>
    <row r="7" spans="2:9" x14ac:dyDescent="0.25">
      <c r="B7" s="301"/>
      <c r="C7" s="146" t="s">
        <v>7</v>
      </c>
      <c r="D7" s="147">
        <v>2556.1924999999997</v>
      </c>
      <c r="E7" s="34"/>
      <c r="F7" s="358"/>
      <c r="G7" s="358"/>
      <c r="H7" s="358"/>
    </row>
    <row r="8" spans="2:9" x14ac:dyDescent="0.25">
      <c r="B8" s="301"/>
      <c r="C8" s="146" t="s">
        <v>8</v>
      </c>
      <c r="D8" s="147">
        <v>3763.8424999999997</v>
      </c>
      <c r="E8" s="34"/>
      <c r="F8" s="34"/>
      <c r="G8" s="34"/>
      <c r="H8" s="34"/>
    </row>
    <row r="9" spans="2:9" x14ac:dyDescent="0.25">
      <c r="B9" s="301"/>
      <c r="C9" s="146"/>
      <c r="D9" s="147"/>
      <c r="E9" s="34"/>
      <c r="F9" s="34"/>
      <c r="G9" s="34"/>
      <c r="H9" s="34"/>
    </row>
    <row r="10" spans="2:9" x14ac:dyDescent="0.25">
      <c r="B10" s="301"/>
      <c r="C10" s="175" t="s">
        <v>56</v>
      </c>
      <c r="D10" s="176">
        <f>AVERAGE(D5:D8)</f>
        <v>2561.2243749999998</v>
      </c>
      <c r="E10" s="34"/>
      <c r="F10" s="34"/>
      <c r="G10" s="34"/>
      <c r="H10" s="34"/>
    </row>
    <row r="11" spans="2:9" x14ac:dyDescent="0.25">
      <c r="B11" s="301"/>
      <c r="C11" s="146" t="s">
        <v>22</v>
      </c>
      <c r="D11" s="147">
        <f>_xlfn.STDEV.S(D5:D8)</f>
        <v>849.55774977184115</v>
      </c>
      <c r="E11" s="34"/>
      <c r="F11" s="34"/>
      <c r="G11" s="34"/>
      <c r="H11" s="34"/>
    </row>
    <row r="12" spans="2:9" x14ac:dyDescent="0.25">
      <c r="B12" s="302"/>
      <c r="C12" s="177" t="s">
        <v>9</v>
      </c>
      <c r="D12" s="178">
        <f>D11/SQRT(COUNT(D5:D8))</f>
        <v>424.77887488592057</v>
      </c>
      <c r="E12" s="34"/>
      <c r="F12" s="34"/>
      <c r="G12" s="34"/>
      <c r="H12" s="34"/>
    </row>
    <row r="13" spans="2:9" x14ac:dyDescent="0.25">
      <c r="B13" s="304" t="s">
        <v>25</v>
      </c>
      <c r="C13" s="312" t="s">
        <v>262</v>
      </c>
      <c r="D13" s="363" t="s">
        <v>255</v>
      </c>
      <c r="E13" s="34"/>
      <c r="F13" s="34"/>
      <c r="G13" s="34"/>
      <c r="H13" s="34"/>
      <c r="I13" s="303"/>
    </row>
    <row r="14" spans="2:9" x14ac:dyDescent="0.25">
      <c r="B14" s="361"/>
      <c r="C14" s="144" t="s">
        <v>5</v>
      </c>
      <c r="D14" s="145">
        <v>2576.3199999999997</v>
      </c>
      <c r="E14" s="34"/>
      <c r="F14" s="34"/>
      <c r="G14" s="34"/>
      <c r="H14" s="34"/>
    </row>
    <row r="15" spans="2:9" x14ac:dyDescent="0.25">
      <c r="B15" s="301"/>
      <c r="C15" s="146" t="s">
        <v>6</v>
      </c>
      <c r="D15" s="147">
        <v>3924.8624999999997</v>
      </c>
      <c r="E15" s="34"/>
      <c r="F15" s="34"/>
      <c r="G15" s="34"/>
      <c r="H15" s="34"/>
    </row>
    <row r="16" spans="2:9" x14ac:dyDescent="0.25">
      <c r="B16" s="301"/>
      <c r="C16" s="146" t="s">
        <v>7</v>
      </c>
      <c r="D16" s="147">
        <v>2697.0849999999996</v>
      </c>
      <c r="E16" s="34"/>
      <c r="F16" s="34"/>
      <c r="G16" s="34"/>
      <c r="H16" s="34"/>
    </row>
    <row r="17" spans="2:9" x14ac:dyDescent="0.25">
      <c r="B17" s="301"/>
      <c r="C17" s="146" t="s">
        <v>8</v>
      </c>
      <c r="D17" s="147">
        <v>2354.9174999999996</v>
      </c>
      <c r="E17" s="34"/>
      <c r="F17" s="34"/>
      <c r="G17" s="34"/>
      <c r="H17" s="34"/>
    </row>
    <row r="18" spans="2:9" x14ac:dyDescent="0.25">
      <c r="B18" s="301"/>
      <c r="C18" s="146"/>
      <c r="D18" s="147"/>
      <c r="E18" s="34"/>
      <c r="F18" s="34"/>
      <c r="G18" s="34"/>
      <c r="H18" s="34"/>
    </row>
    <row r="19" spans="2:9" x14ac:dyDescent="0.25">
      <c r="B19" s="301"/>
      <c r="C19" s="175" t="s">
        <v>56</v>
      </c>
      <c r="D19" s="176">
        <f>AVERAGE(D14:D17)</f>
        <v>2888.2962499999994</v>
      </c>
      <c r="E19" s="34"/>
      <c r="F19" s="34"/>
      <c r="G19" s="34"/>
      <c r="H19" s="34"/>
    </row>
    <row r="20" spans="2:9" x14ac:dyDescent="0.25">
      <c r="B20" s="301"/>
      <c r="C20" s="146" t="s">
        <v>22</v>
      </c>
      <c r="D20" s="147">
        <f>_xlfn.STDEV.S(D14:D17)</f>
        <v>705.42030125811243</v>
      </c>
      <c r="E20" s="34"/>
      <c r="F20" s="34"/>
      <c r="G20" s="34"/>
      <c r="H20" s="34"/>
    </row>
    <row r="21" spans="2:9" x14ac:dyDescent="0.25">
      <c r="B21" s="302"/>
      <c r="C21" s="177" t="s">
        <v>9</v>
      </c>
      <c r="D21" s="178">
        <f>D20/SQRT(COUNT(D14:D17))</f>
        <v>352.71015062905622</v>
      </c>
      <c r="E21" s="34"/>
      <c r="F21" s="34"/>
      <c r="G21" s="34"/>
      <c r="H21" s="34"/>
    </row>
    <row r="22" spans="2:9" x14ac:dyDescent="0.25">
      <c r="E22" s="34"/>
      <c r="F22" s="34"/>
      <c r="G22" s="34"/>
      <c r="H22" s="34"/>
    </row>
    <row r="23" spans="2:9" x14ac:dyDescent="0.25">
      <c r="B23" s="306" t="s">
        <v>16</v>
      </c>
      <c r="C23" s="351"/>
      <c r="D23" s="351"/>
      <c r="F23" s="34"/>
      <c r="G23" s="345"/>
      <c r="H23" s="34"/>
      <c r="I23" s="303"/>
    </row>
    <row r="24" spans="2:9" x14ac:dyDescent="0.25">
      <c r="B24" s="308" t="s">
        <v>50</v>
      </c>
      <c r="C24" s="343"/>
      <c r="D24" s="34"/>
      <c r="G24" s="364"/>
      <c r="I24" s="303"/>
    </row>
    <row r="25" spans="2:9" ht="17.25" x14ac:dyDescent="0.25">
      <c r="B25" s="311" t="s">
        <v>4</v>
      </c>
      <c r="C25" s="312" t="s">
        <v>262</v>
      </c>
      <c r="D25" s="313" t="s">
        <v>18</v>
      </c>
    </row>
    <row r="26" spans="2:9" x14ac:dyDescent="0.25">
      <c r="B26" s="291"/>
      <c r="C26" s="118" t="s">
        <v>5</v>
      </c>
      <c r="D26" s="263">
        <v>0.4</v>
      </c>
      <c r="G26" s="303"/>
    </row>
    <row r="27" spans="2:9" x14ac:dyDescent="0.25">
      <c r="B27" s="293"/>
      <c r="C27" s="117" t="s">
        <v>6</v>
      </c>
      <c r="D27" s="205">
        <v>0.4</v>
      </c>
      <c r="G27" s="303"/>
    </row>
    <row r="28" spans="2:9" x14ac:dyDescent="0.25">
      <c r="B28" s="293"/>
      <c r="C28" s="117" t="s">
        <v>7</v>
      </c>
      <c r="D28" s="205">
        <v>0.4</v>
      </c>
    </row>
    <row r="29" spans="2:9" x14ac:dyDescent="0.25">
      <c r="B29" s="293"/>
      <c r="C29" s="117" t="s">
        <v>8</v>
      </c>
      <c r="D29" s="205">
        <v>0.45</v>
      </c>
    </row>
    <row r="30" spans="2:9" x14ac:dyDescent="0.25">
      <c r="B30" s="293"/>
      <c r="C30" s="117" t="s">
        <v>14</v>
      </c>
      <c r="D30" s="205">
        <v>0.4</v>
      </c>
    </row>
    <row r="31" spans="2:9" x14ac:dyDescent="0.25">
      <c r="B31" s="293"/>
      <c r="C31" s="117" t="s">
        <v>15</v>
      </c>
      <c r="D31" s="205">
        <v>0.45</v>
      </c>
    </row>
    <row r="32" spans="2:9" x14ac:dyDescent="0.25">
      <c r="B32" s="293"/>
      <c r="C32" s="117"/>
      <c r="D32" s="205"/>
    </row>
    <row r="33" spans="2:9" x14ac:dyDescent="0.25">
      <c r="B33" s="332"/>
      <c r="C33" s="175" t="s">
        <v>56</v>
      </c>
      <c r="D33" s="176">
        <f>AVERAGE(D26:D31)</f>
        <v>0.41666666666666674</v>
      </c>
    </row>
    <row r="34" spans="2:9" x14ac:dyDescent="0.25">
      <c r="B34" s="332"/>
      <c r="C34" s="146" t="s">
        <v>22</v>
      </c>
      <c r="D34" s="147">
        <f>_xlfn.STDEV.S(D26:D31)</f>
        <v>2.5819888974716106E-2</v>
      </c>
    </row>
    <row r="35" spans="2:9" x14ac:dyDescent="0.25">
      <c r="B35" s="334"/>
      <c r="C35" s="177" t="s">
        <v>9</v>
      </c>
      <c r="D35" s="178">
        <f>D34/SQRT(COUNT(D26:D31))</f>
        <v>1.0540925533894597E-2</v>
      </c>
    </row>
    <row r="36" spans="2:9" ht="17.25" x14ac:dyDescent="0.25">
      <c r="B36" s="311" t="s">
        <v>25</v>
      </c>
      <c r="C36" s="312" t="s">
        <v>262</v>
      </c>
      <c r="D36" s="313" t="s">
        <v>18</v>
      </c>
    </row>
    <row r="37" spans="2:9" x14ac:dyDescent="0.25">
      <c r="B37" s="291"/>
      <c r="C37" s="118" t="s">
        <v>5</v>
      </c>
      <c r="D37" s="263">
        <v>0.75</v>
      </c>
    </row>
    <row r="38" spans="2:9" x14ac:dyDescent="0.25">
      <c r="B38" s="293"/>
      <c r="C38" s="117" t="s">
        <v>6</v>
      </c>
      <c r="D38" s="205">
        <v>0.625</v>
      </c>
    </row>
    <row r="39" spans="2:9" x14ac:dyDescent="0.25">
      <c r="B39" s="293"/>
      <c r="C39" s="117" t="s">
        <v>7</v>
      </c>
      <c r="D39" s="205">
        <v>0.625</v>
      </c>
      <c r="I39" s="303"/>
    </row>
    <row r="40" spans="2:9" x14ac:dyDescent="0.25">
      <c r="B40" s="293"/>
      <c r="C40" s="117" t="s">
        <v>8</v>
      </c>
      <c r="D40" s="205">
        <v>0.7</v>
      </c>
      <c r="G40" s="365"/>
    </row>
    <row r="41" spans="2:9" x14ac:dyDescent="0.25">
      <c r="B41" s="293"/>
      <c r="C41" s="117" t="s">
        <v>14</v>
      </c>
      <c r="D41" s="205">
        <v>0.55000000000000004</v>
      </c>
      <c r="G41" s="365"/>
    </row>
    <row r="42" spans="2:9" x14ac:dyDescent="0.25">
      <c r="B42" s="293"/>
      <c r="C42" s="117" t="s">
        <v>15</v>
      </c>
      <c r="D42" s="205">
        <v>0.55000000000000004</v>
      </c>
      <c r="G42" s="365"/>
    </row>
    <row r="43" spans="2:9" x14ac:dyDescent="0.25">
      <c r="B43" s="293"/>
      <c r="C43" s="117"/>
      <c r="D43" s="205"/>
      <c r="G43" s="365"/>
    </row>
    <row r="44" spans="2:9" x14ac:dyDescent="0.25">
      <c r="B44" s="332"/>
      <c r="C44" s="175" t="s">
        <v>56</v>
      </c>
      <c r="D44" s="176">
        <f>AVERAGE(D37:D42)</f>
        <v>0.6333333333333333</v>
      </c>
      <c r="G44" s="365"/>
    </row>
    <row r="45" spans="2:9" x14ac:dyDescent="0.25">
      <c r="B45" s="332"/>
      <c r="C45" s="146" t="s">
        <v>22</v>
      </c>
      <c r="D45" s="147">
        <f>_xlfn.STDEV.S(D37:D42)</f>
        <v>8.0104098937986271E-2</v>
      </c>
    </row>
    <row r="46" spans="2:9" x14ac:dyDescent="0.25">
      <c r="B46" s="334"/>
      <c r="C46" s="177" t="s">
        <v>9</v>
      </c>
      <c r="D46" s="178">
        <f>D45/SQRT(COUNT(D37:D42))</f>
        <v>3.2702361450581044E-2</v>
      </c>
      <c r="G46" s="364"/>
      <c r="I46" s="303"/>
    </row>
    <row r="47" spans="2:9" x14ac:dyDescent="0.25">
      <c r="C47" s="34"/>
      <c r="D47" s="34"/>
      <c r="E47" s="34"/>
      <c r="G47" s="364"/>
    </row>
    <row r="48" spans="2:9" x14ac:dyDescent="0.25">
      <c r="G48" s="364"/>
      <c r="I48" s="303"/>
    </row>
  </sheetData>
  <mergeCells count="1">
    <mergeCell ref="F5:H5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38"/>
  <sheetViews>
    <sheetView zoomScale="60" zoomScaleNormal="60" workbookViewId="0"/>
  </sheetViews>
  <sheetFormatPr defaultColWidth="9.140625" defaultRowHeight="15" x14ac:dyDescent="0.25"/>
  <cols>
    <col min="1" max="1" width="3.140625" style="255" customWidth="1"/>
    <col min="2" max="2" width="22.7109375" style="255" customWidth="1"/>
    <col min="3" max="3" width="17.7109375" style="255" bestFit="1" customWidth="1"/>
    <col min="4" max="6" width="10.28515625" style="255" bestFit="1" customWidth="1"/>
    <col min="7" max="7" width="10.42578125" style="255" customWidth="1"/>
    <col min="8" max="8" width="18.28515625" style="255" bestFit="1" customWidth="1"/>
    <col min="9" max="9" width="3.28515625" style="255" customWidth="1"/>
    <col min="10" max="10" width="17.28515625" style="255" bestFit="1" customWidth="1"/>
    <col min="11" max="11" width="17.7109375" style="255" customWidth="1"/>
    <col min="12" max="15" width="10.28515625" style="255" bestFit="1" customWidth="1"/>
    <col min="16" max="16" width="18.28515625" style="255" bestFit="1" customWidth="1"/>
    <col min="17" max="17" width="9.140625" style="255"/>
    <col min="18" max="18" width="9" style="255" customWidth="1"/>
    <col min="19" max="19" width="13.7109375" style="255" bestFit="1" customWidth="1"/>
    <col min="20" max="23" width="9.140625" style="255"/>
    <col min="24" max="24" width="14.7109375" style="255" bestFit="1" customWidth="1"/>
    <col min="25" max="27" width="9.140625" style="255"/>
    <col min="28" max="28" width="10.42578125" style="255" bestFit="1" customWidth="1"/>
    <col min="29" max="31" width="9.140625" style="255"/>
    <col min="32" max="32" width="10.42578125" style="255" bestFit="1" customWidth="1"/>
    <col min="33" max="33" width="8.85546875" style="255" bestFit="1" customWidth="1"/>
    <col min="34" max="34" width="3.7109375" style="255" customWidth="1"/>
    <col min="35" max="38" width="9.140625" style="255"/>
    <col min="39" max="39" width="10.42578125" style="255" bestFit="1" customWidth="1"/>
    <col min="40" max="40" width="8.85546875" style="255" bestFit="1" customWidth="1"/>
    <col min="41" max="16384" width="9.140625" style="255"/>
  </cols>
  <sheetData>
    <row r="2" spans="2:21" x14ac:dyDescent="0.25">
      <c r="B2" s="366" t="s">
        <v>267</v>
      </c>
      <c r="C2" s="366"/>
      <c r="D2" s="366"/>
      <c r="E2" s="366"/>
      <c r="F2" s="366"/>
      <c r="G2" s="366"/>
      <c r="H2" s="366"/>
      <c r="I2" s="366"/>
      <c r="J2" s="366"/>
      <c r="K2" s="366"/>
      <c r="L2" s="366"/>
      <c r="M2" s="366"/>
      <c r="N2" s="366"/>
      <c r="O2" s="366"/>
      <c r="P2" s="149"/>
      <c r="Q2" s="247"/>
      <c r="R2" s="247"/>
      <c r="S2" s="247"/>
      <c r="T2" s="247"/>
      <c r="U2" s="247"/>
    </row>
    <row r="3" spans="2:21" ht="15.75" thickBot="1" x14ac:dyDescent="0.3">
      <c r="B3" s="359" t="s">
        <v>50</v>
      </c>
      <c r="C3" s="324"/>
      <c r="D3" s="324"/>
      <c r="E3" s="324"/>
      <c r="F3" s="324"/>
      <c r="G3" s="324"/>
      <c r="H3" s="324"/>
      <c r="I3" s="324"/>
      <c r="J3" s="324"/>
      <c r="K3" s="324"/>
      <c r="L3" s="324"/>
      <c r="M3" s="324"/>
      <c r="N3" s="324"/>
      <c r="P3" s="345"/>
      <c r="Q3" s="247"/>
      <c r="R3" s="247"/>
      <c r="S3" s="247"/>
      <c r="T3" s="247"/>
      <c r="U3" s="247"/>
    </row>
    <row r="4" spans="2:21" x14ac:dyDescent="0.25">
      <c r="B4" s="367" t="s">
        <v>4</v>
      </c>
      <c r="C4" s="368" t="s">
        <v>262</v>
      </c>
      <c r="D4" s="369" t="s">
        <v>169</v>
      </c>
      <c r="E4" s="369" t="s">
        <v>170</v>
      </c>
      <c r="F4" s="369" t="s">
        <v>171</v>
      </c>
      <c r="G4" s="369" t="s">
        <v>172</v>
      </c>
      <c r="H4" s="370" t="s">
        <v>261</v>
      </c>
      <c r="I4" s="345"/>
      <c r="J4" s="367" t="s">
        <v>25</v>
      </c>
      <c r="K4" s="368" t="s">
        <v>262</v>
      </c>
      <c r="L4" s="369" t="s">
        <v>169</v>
      </c>
      <c r="M4" s="369" t="s">
        <v>170</v>
      </c>
      <c r="N4" s="369" t="s">
        <v>171</v>
      </c>
      <c r="O4" s="369" t="s">
        <v>172</v>
      </c>
      <c r="P4" s="370" t="s">
        <v>261</v>
      </c>
      <c r="Q4" s="247"/>
      <c r="R4" s="247"/>
      <c r="S4" s="247"/>
      <c r="T4" s="247"/>
      <c r="U4" s="247"/>
    </row>
    <row r="5" spans="2:21" x14ac:dyDescent="0.25">
      <c r="B5" s="151" t="s">
        <v>209</v>
      </c>
      <c r="C5" s="117" t="s">
        <v>5</v>
      </c>
      <c r="D5" s="117">
        <v>20.240499999999997</v>
      </c>
      <c r="E5" s="117">
        <v>17.30386956521739</v>
      </c>
      <c r="F5" s="117">
        <v>19.918218750000001</v>
      </c>
      <c r="G5" s="117">
        <v>19.957684210526324</v>
      </c>
      <c r="H5" s="286">
        <f>AVERAGE(D5:G5)</f>
        <v>19.355068131435928</v>
      </c>
      <c r="I5" s="34"/>
      <c r="J5" s="151" t="s">
        <v>209</v>
      </c>
      <c r="K5" s="117" t="s">
        <v>5</v>
      </c>
      <c r="L5" s="117">
        <v>18.625387096774194</v>
      </c>
      <c r="M5" s="117">
        <v>18.635428571428601</v>
      </c>
      <c r="N5" s="117">
        <v>20.075304347826087</v>
      </c>
      <c r="O5" s="117">
        <v>19.559354838709684</v>
      </c>
      <c r="P5" s="286">
        <f>AVERAGE(L5:O5)</f>
        <v>19.223868713684642</v>
      </c>
      <c r="Q5" s="247"/>
      <c r="R5" s="247"/>
      <c r="S5" s="247"/>
      <c r="T5" s="247"/>
      <c r="U5" s="247"/>
    </row>
    <row r="6" spans="2:21" x14ac:dyDescent="0.25">
      <c r="B6" s="287"/>
      <c r="C6" s="117" t="s">
        <v>6</v>
      </c>
      <c r="D6" s="117">
        <v>22.5975</v>
      </c>
      <c r="E6" s="117">
        <v>18.105520000000006</v>
      </c>
      <c r="F6" s="117">
        <v>29.772125000000003</v>
      </c>
      <c r="G6" s="117">
        <v>18.765999999999998</v>
      </c>
      <c r="H6" s="286">
        <f t="shared" ref="H6:H9" si="0">AVERAGE(D6:G6)</f>
        <v>22.310286250000004</v>
      </c>
      <c r="I6" s="34"/>
      <c r="J6" s="287"/>
      <c r="K6" s="117" t="s">
        <v>6</v>
      </c>
      <c r="L6" s="117">
        <v>20.23734782608696</v>
      </c>
      <c r="M6" s="117">
        <v>17.323925925925927</v>
      </c>
      <c r="N6" s="117">
        <v>14.077833333333334</v>
      </c>
      <c r="O6" s="117">
        <v>17.3765</v>
      </c>
      <c r="P6" s="286">
        <f t="shared" ref="P6:P9" si="1">AVERAGE(L6:O6)</f>
        <v>17.253901771336558</v>
      </c>
      <c r="Q6" s="247"/>
      <c r="R6" s="247"/>
      <c r="S6" s="247"/>
      <c r="T6" s="247"/>
      <c r="U6" s="247"/>
    </row>
    <row r="7" spans="2:21" x14ac:dyDescent="0.25">
      <c r="B7" s="287"/>
      <c r="C7" s="117" t="s">
        <v>7</v>
      </c>
      <c r="D7" s="117">
        <v>16.463666666666668</v>
      </c>
      <c r="E7" s="117">
        <v>18.426272727272728</v>
      </c>
      <c r="F7" s="117">
        <v>20.426346153846154</v>
      </c>
      <c r="G7" s="117">
        <v>15.492608695652173</v>
      </c>
      <c r="H7" s="286">
        <f t="shared" si="0"/>
        <v>17.70222356085943</v>
      </c>
      <c r="I7" s="34"/>
      <c r="J7" s="287"/>
      <c r="K7" s="117" t="s">
        <v>7</v>
      </c>
      <c r="L7" s="117">
        <v>16.926599999999997</v>
      </c>
      <c r="M7" s="117">
        <v>17.1555</v>
      </c>
      <c r="N7" s="117">
        <v>18.130120000000005</v>
      </c>
      <c r="O7" s="117">
        <v>17.797702702702701</v>
      </c>
      <c r="P7" s="286">
        <f t="shared" si="1"/>
        <v>17.502480675675677</v>
      </c>
      <c r="Q7" s="247"/>
      <c r="R7" s="247"/>
      <c r="S7" s="247"/>
      <c r="T7" s="247"/>
      <c r="U7" s="247"/>
    </row>
    <row r="8" spans="2:21" x14ac:dyDescent="0.25">
      <c r="B8" s="287"/>
      <c r="C8" s="117" t="s">
        <v>8</v>
      </c>
      <c r="D8" s="117">
        <v>19.836166666666667</v>
      </c>
      <c r="E8" s="117">
        <v>23.267727272727271</v>
      </c>
      <c r="F8" s="117">
        <v>16.817200000000003</v>
      </c>
      <c r="G8" s="117">
        <v>21.574947368421046</v>
      </c>
      <c r="H8" s="286">
        <f t="shared" si="0"/>
        <v>20.374010326953748</v>
      </c>
      <c r="I8" s="34"/>
      <c r="J8" s="287"/>
      <c r="K8" s="117" t="s">
        <v>8</v>
      </c>
      <c r="L8" s="117">
        <v>15.578846153846154</v>
      </c>
      <c r="M8" s="117">
        <v>20.438937499999998</v>
      </c>
      <c r="N8" s="117">
        <v>17.278071428571426</v>
      </c>
      <c r="O8" s="117">
        <v>21.646419354838706</v>
      </c>
      <c r="P8" s="286">
        <f t="shared" si="1"/>
        <v>18.735568609314072</v>
      </c>
      <c r="Q8" s="247"/>
      <c r="R8" s="247"/>
      <c r="S8" s="247"/>
      <c r="T8" s="247"/>
      <c r="U8" s="247"/>
    </row>
    <row r="9" spans="2:21" x14ac:dyDescent="0.25">
      <c r="B9" s="287"/>
      <c r="C9" s="117" t="s">
        <v>14</v>
      </c>
      <c r="D9" s="117">
        <v>20.26346666666667</v>
      </c>
      <c r="E9" s="117">
        <v>19.362919999999999</v>
      </c>
      <c r="F9" s="117">
        <v>19.077538461538463</v>
      </c>
      <c r="G9" s="117">
        <v>19.679115384615383</v>
      </c>
      <c r="H9" s="286">
        <f t="shared" si="0"/>
        <v>19.595760128205129</v>
      </c>
      <c r="I9" s="34"/>
      <c r="J9" s="287"/>
      <c r="K9" s="117" t="s">
        <v>14</v>
      </c>
      <c r="L9" s="117">
        <v>16.9925</v>
      </c>
      <c r="M9" s="117"/>
      <c r="N9" s="117">
        <v>19.15342857142857</v>
      </c>
      <c r="O9" s="117">
        <v>17.10284</v>
      </c>
      <c r="P9" s="286">
        <f t="shared" si="1"/>
        <v>17.749589523809522</v>
      </c>
      <c r="Q9" s="247"/>
      <c r="R9" s="247"/>
      <c r="S9" s="247"/>
      <c r="T9" s="247"/>
      <c r="U9" s="247"/>
    </row>
    <row r="10" spans="2:21" x14ac:dyDescent="0.25">
      <c r="B10" s="287"/>
      <c r="C10" s="117"/>
      <c r="D10" s="117"/>
      <c r="E10" s="117"/>
      <c r="F10" s="117"/>
      <c r="G10" s="117"/>
      <c r="H10" s="286"/>
      <c r="I10" s="34"/>
      <c r="J10" s="287"/>
      <c r="K10" s="117"/>
      <c r="L10" s="117"/>
      <c r="M10" s="117"/>
      <c r="N10" s="117"/>
      <c r="O10" s="117"/>
      <c r="P10" s="286"/>
      <c r="Q10" s="247"/>
      <c r="R10" s="247"/>
      <c r="S10" s="247"/>
      <c r="T10" s="247"/>
      <c r="U10" s="247"/>
    </row>
    <row r="11" spans="2:21" x14ac:dyDescent="0.25">
      <c r="B11" s="287"/>
      <c r="C11" s="117"/>
      <c r="D11" s="117"/>
      <c r="E11" s="117"/>
      <c r="F11" s="117"/>
      <c r="G11" s="55" t="s">
        <v>56</v>
      </c>
      <c r="H11" s="141">
        <f>AVERAGE(H5:H9)</f>
        <v>19.867469679490846</v>
      </c>
      <c r="I11" s="34"/>
      <c r="J11" s="287"/>
      <c r="K11" s="117"/>
      <c r="L11" s="117"/>
      <c r="M11" s="117"/>
      <c r="N11" s="117"/>
      <c r="O11" s="55" t="s">
        <v>56</v>
      </c>
      <c r="P11" s="141">
        <f>AVERAGE(P5:P9)</f>
        <v>18.093081858764091</v>
      </c>
      <c r="Q11" s="247"/>
      <c r="R11" s="247"/>
      <c r="S11" s="247"/>
      <c r="T11" s="247"/>
      <c r="U11" s="247"/>
    </row>
    <row r="12" spans="2:21" x14ac:dyDescent="0.25">
      <c r="B12" s="287"/>
      <c r="C12" s="117"/>
      <c r="D12" s="117"/>
      <c r="E12" s="117"/>
      <c r="F12" s="117"/>
      <c r="G12" s="55" t="s">
        <v>22</v>
      </c>
      <c r="H12" s="141">
        <f>_xlfn.STDEV.S(H5:H9)</f>
        <v>1.6769472565978065</v>
      </c>
      <c r="I12" s="34"/>
      <c r="J12" s="287"/>
      <c r="K12" s="117"/>
      <c r="L12" s="117"/>
      <c r="M12" s="117"/>
      <c r="N12" s="117"/>
      <c r="O12" s="120" t="s">
        <v>22</v>
      </c>
      <c r="P12" s="141">
        <f>_xlfn.STDEV.S(P5:P9)</f>
        <v>0.84594445690397435</v>
      </c>
      <c r="Q12" s="247"/>
      <c r="R12" s="247"/>
      <c r="S12" s="247"/>
      <c r="T12" s="247"/>
      <c r="U12" s="247"/>
    </row>
    <row r="13" spans="2:21" x14ac:dyDescent="0.25">
      <c r="B13" s="371" t="s">
        <v>4</v>
      </c>
      <c r="C13" s="312" t="s">
        <v>262</v>
      </c>
      <c r="D13" s="356" t="s">
        <v>169</v>
      </c>
      <c r="E13" s="356" t="s">
        <v>170</v>
      </c>
      <c r="F13" s="356" t="s">
        <v>171</v>
      </c>
      <c r="G13" s="356" t="s">
        <v>172</v>
      </c>
      <c r="H13" s="372" t="s">
        <v>261</v>
      </c>
      <c r="I13" s="149"/>
      <c r="J13" s="371" t="s">
        <v>25</v>
      </c>
      <c r="K13" s="312" t="s">
        <v>262</v>
      </c>
      <c r="L13" s="356" t="s">
        <v>169</v>
      </c>
      <c r="M13" s="356" t="s">
        <v>170</v>
      </c>
      <c r="N13" s="356" t="s">
        <v>171</v>
      </c>
      <c r="O13" s="356" t="s">
        <v>172</v>
      </c>
      <c r="P13" s="372" t="s">
        <v>261</v>
      </c>
      <c r="Q13" s="247"/>
      <c r="R13" s="247"/>
      <c r="S13" s="247"/>
      <c r="T13" s="247"/>
      <c r="U13" s="247"/>
    </row>
    <row r="14" spans="2:21" x14ac:dyDescent="0.25">
      <c r="B14" s="151" t="s">
        <v>157</v>
      </c>
      <c r="C14" s="117" t="s">
        <v>5</v>
      </c>
      <c r="D14" s="117">
        <v>26.113782608695661</v>
      </c>
      <c r="E14" s="117">
        <v>27.447999999999997</v>
      </c>
      <c r="F14" s="117">
        <v>22.2987</v>
      </c>
      <c r="G14" s="117">
        <v>22.853666666666669</v>
      </c>
      <c r="H14" s="286">
        <f>AVERAGE(D14:G14)</f>
        <v>24.678537318840583</v>
      </c>
      <c r="I14" s="345"/>
      <c r="J14" s="152" t="s">
        <v>157</v>
      </c>
      <c r="K14" s="118" t="s">
        <v>5</v>
      </c>
      <c r="L14" s="118">
        <v>21.859086956521736</v>
      </c>
      <c r="M14" s="118">
        <v>18.372241379310346</v>
      </c>
      <c r="N14" s="118">
        <v>13.550222222222223</v>
      </c>
      <c r="O14" s="118">
        <v>17.752230769230771</v>
      </c>
      <c r="P14" s="288">
        <f>AVERAGE(L14:O14)</f>
        <v>17.883445331821271</v>
      </c>
      <c r="Q14" s="247"/>
      <c r="R14" s="247"/>
      <c r="S14" s="247"/>
      <c r="T14" s="247"/>
      <c r="U14" s="247"/>
    </row>
    <row r="15" spans="2:21" x14ac:dyDescent="0.25">
      <c r="B15" s="287"/>
      <c r="C15" s="117" t="s">
        <v>6</v>
      </c>
      <c r="D15" s="117">
        <v>20.958941176470592</v>
      </c>
      <c r="E15" s="117">
        <v>20.610263157894735</v>
      </c>
      <c r="F15" s="117">
        <v>19.573799999999999</v>
      </c>
      <c r="G15" s="117">
        <v>21.435799999999997</v>
      </c>
      <c r="H15" s="286">
        <f t="shared" ref="H15:H18" si="2">AVERAGE(D15:G15)</f>
        <v>20.644701083591329</v>
      </c>
      <c r="I15" s="345"/>
      <c r="J15" s="287"/>
      <c r="K15" s="117" t="s">
        <v>6</v>
      </c>
      <c r="L15" s="117">
        <v>19.235999999999997</v>
      </c>
      <c r="M15" s="117">
        <v>15.159142857142857</v>
      </c>
      <c r="N15" s="117">
        <v>19.65325</v>
      </c>
      <c r="O15" s="117">
        <v>19.021222222222221</v>
      </c>
      <c r="P15" s="286">
        <f t="shared" ref="P15:P18" si="3">AVERAGE(L15:O15)</f>
        <v>18.26740376984127</v>
      </c>
      <c r="Q15" s="247"/>
      <c r="R15" s="247"/>
      <c r="S15" s="247"/>
      <c r="T15" s="247"/>
      <c r="U15" s="247"/>
    </row>
    <row r="16" spans="2:21" x14ac:dyDescent="0.25">
      <c r="B16" s="287"/>
      <c r="C16" s="117" t="s">
        <v>7</v>
      </c>
      <c r="D16" s="117">
        <v>29.116538461538461</v>
      </c>
      <c r="E16" s="117">
        <v>22.358875000000001</v>
      </c>
      <c r="F16" s="117">
        <v>21.978777777777779</v>
      </c>
      <c r="G16" s="117">
        <v>30.554888888888893</v>
      </c>
      <c r="H16" s="286">
        <f t="shared" si="2"/>
        <v>26.002270032051285</v>
      </c>
      <c r="I16" s="34"/>
      <c r="J16" s="287"/>
      <c r="K16" s="117" t="s">
        <v>7</v>
      </c>
      <c r="L16" s="117">
        <v>17.600571428571431</v>
      </c>
      <c r="M16" s="117">
        <v>19.849076923076918</v>
      </c>
      <c r="N16" s="117">
        <v>18.412263157894735</v>
      </c>
      <c r="O16" s="117">
        <v>17.352</v>
      </c>
      <c r="P16" s="286">
        <f t="shared" si="3"/>
        <v>18.30347787738577</v>
      </c>
      <c r="Q16" s="247"/>
      <c r="R16" s="247"/>
      <c r="S16" s="247"/>
      <c r="T16" s="247"/>
      <c r="U16" s="247"/>
    </row>
    <row r="17" spans="2:21" x14ac:dyDescent="0.25">
      <c r="B17" s="287"/>
      <c r="C17" s="117" t="s">
        <v>8</v>
      </c>
      <c r="D17" s="117">
        <v>22.15007142857143</v>
      </c>
      <c r="E17" s="117">
        <v>23.978619047619048</v>
      </c>
      <c r="F17" s="117">
        <v>17.950055555555551</v>
      </c>
      <c r="G17" s="117"/>
      <c r="H17" s="286">
        <f t="shared" si="2"/>
        <v>21.359582010582006</v>
      </c>
      <c r="I17" s="34"/>
      <c r="J17" s="287"/>
      <c r="K17" s="117" t="s">
        <v>8</v>
      </c>
      <c r="L17" s="117">
        <v>15.029333333333334</v>
      </c>
      <c r="M17" s="117">
        <v>17.22165</v>
      </c>
      <c r="N17" s="117">
        <v>19.100999999999999</v>
      </c>
      <c r="O17" s="117">
        <v>14.121909090909089</v>
      </c>
      <c r="P17" s="286">
        <f t="shared" si="3"/>
        <v>16.368473106060605</v>
      </c>
      <c r="Q17" s="247"/>
      <c r="R17" s="247"/>
      <c r="S17" s="247"/>
      <c r="T17" s="247"/>
      <c r="U17" s="247"/>
    </row>
    <row r="18" spans="2:21" x14ac:dyDescent="0.25">
      <c r="B18" s="287"/>
      <c r="C18" s="117" t="s">
        <v>14</v>
      </c>
      <c r="D18" s="117">
        <v>23.7685</v>
      </c>
      <c r="E18" s="117"/>
      <c r="F18" s="117">
        <v>22.188499999999998</v>
      </c>
      <c r="G18" s="117">
        <v>27.785499999999999</v>
      </c>
      <c r="H18" s="286">
        <f t="shared" si="2"/>
        <v>24.580833333333331</v>
      </c>
      <c r="I18" s="34"/>
      <c r="J18" s="287"/>
      <c r="K18" s="117" t="s">
        <v>14</v>
      </c>
      <c r="L18" s="117">
        <v>18.1478</v>
      </c>
      <c r="M18" s="117" t="s">
        <v>173</v>
      </c>
      <c r="N18" s="117">
        <v>13.312833333333332</v>
      </c>
      <c r="O18" s="117">
        <v>16.169866666666667</v>
      </c>
      <c r="P18" s="286">
        <f t="shared" si="3"/>
        <v>15.876833333333332</v>
      </c>
      <c r="Q18" s="247"/>
      <c r="R18" s="247"/>
      <c r="S18" s="247"/>
      <c r="T18" s="247"/>
      <c r="U18" s="247"/>
    </row>
    <row r="19" spans="2:21" x14ac:dyDescent="0.25">
      <c r="B19" s="287"/>
      <c r="C19" s="117"/>
      <c r="D19" s="117"/>
      <c r="E19" s="117"/>
      <c r="F19" s="117"/>
      <c r="G19" s="117"/>
      <c r="H19" s="286"/>
      <c r="I19" s="34"/>
      <c r="J19" s="287"/>
      <c r="K19" s="117"/>
      <c r="L19" s="117"/>
      <c r="M19" s="117"/>
      <c r="N19" s="117"/>
      <c r="O19" s="117"/>
      <c r="P19" s="286"/>
      <c r="Q19" s="247"/>
      <c r="R19" s="247"/>
      <c r="S19" s="247"/>
      <c r="T19" s="247"/>
      <c r="U19" s="247"/>
    </row>
    <row r="20" spans="2:21" x14ac:dyDescent="0.25">
      <c r="B20" s="287"/>
      <c r="C20" s="117"/>
      <c r="D20" s="117"/>
      <c r="E20" s="117"/>
      <c r="F20" s="117"/>
      <c r="G20" s="55" t="s">
        <v>56</v>
      </c>
      <c r="H20" s="141">
        <f>AVERAGE(H14:H18)</f>
        <v>23.453184755679708</v>
      </c>
      <c r="I20" s="34"/>
      <c r="J20" s="287"/>
      <c r="K20" s="117"/>
      <c r="L20" s="117"/>
      <c r="M20" s="117"/>
      <c r="N20" s="117"/>
      <c r="O20" s="55" t="s">
        <v>56</v>
      </c>
      <c r="P20" s="141">
        <f>AVERAGE(P14:P18)</f>
        <v>17.339926683688454</v>
      </c>
      <c r="Q20" s="247"/>
      <c r="R20" s="247"/>
      <c r="S20" s="247"/>
      <c r="T20" s="247"/>
      <c r="U20" s="247"/>
    </row>
    <row r="21" spans="2:21" ht="15.75" thickBot="1" x14ac:dyDescent="0.3">
      <c r="B21" s="289"/>
      <c r="C21" s="233"/>
      <c r="D21" s="233"/>
      <c r="E21" s="233"/>
      <c r="F21" s="233"/>
      <c r="G21" s="142" t="s">
        <v>22</v>
      </c>
      <c r="H21" s="143">
        <f>_xlfn.STDEV.S(H14:H18)</f>
        <v>2.3206501758995897</v>
      </c>
      <c r="I21" s="34"/>
      <c r="J21" s="289"/>
      <c r="K21" s="233"/>
      <c r="L21" s="233"/>
      <c r="M21" s="233"/>
      <c r="N21" s="233"/>
      <c r="O21" s="212" t="s">
        <v>22</v>
      </c>
      <c r="P21" s="143">
        <f>_xlfn.STDEV.S(P14:P18)</f>
        <v>1.1367081171546951</v>
      </c>
      <c r="Q21" s="247"/>
      <c r="R21" s="247"/>
      <c r="S21" s="247"/>
      <c r="T21" s="247"/>
      <c r="U21" s="247"/>
    </row>
    <row r="22" spans="2:21" x14ac:dyDescent="0.25">
      <c r="I22" s="34"/>
      <c r="Q22" s="247"/>
      <c r="R22" s="247"/>
      <c r="S22" s="247"/>
      <c r="T22" s="247"/>
      <c r="U22" s="247"/>
    </row>
    <row r="23" spans="2:21" x14ac:dyDescent="0.25">
      <c r="I23" s="34"/>
      <c r="Q23" s="247"/>
      <c r="R23" s="247"/>
      <c r="S23" s="247"/>
      <c r="T23" s="247"/>
      <c r="U23" s="247"/>
    </row>
    <row r="24" spans="2:21" x14ac:dyDescent="0.25">
      <c r="B24" s="247"/>
      <c r="C24" s="247"/>
      <c r="D24" s="247"/>
      <c r="E24" s="247"/>
      <c r="F24" s="247"/>
      <c r="G24" s="247"/>
      <c r="H24" s="247"/>
      <c r="I24" s="247"/>
      <c r="J24" s="247"/>
      <c r="K24" s="247"/>
      <c r="L24" s="247"/>
      <c r="M24" s="247"/>
      <c r="N24" s="247"/>
      <c r="O24" s="247"/>
      <c r="P24" s="247"/>
      <c r="Q24" s="247"/>
      <c r="R24" s="247"/>
      <c r="S24" s="247"/>
      <c r="T24" s="247"/>
      <c r="U24" s="247"/>
    </row>
    <row r="25" spans="2:21" x14ac:dyDescent="0.25">
      <c r="B25" s="247"/>
      <c r="C25" s="247"/>
      <c r="D25" s="247"/>
      <c r="E25" s="247"/>
      <c r="F25" s="247"/>
      <c r="G25" s="247"/>
      <c r="H25" s="247"/>
      <c r="I25" s="333"/>
      <c r="J25" s="333"/>
      <c r="K25" s="247"/>
      <c r="L25" s="247"/>
      <c r="M25" s="247"/>
      <c r="N25" s="247"/>
      <c r="O25" s="247"/>
      <c r="P25" s="247"/>
      <c r="Q25" s="247"/>
      <c r="R25" s="247"/>
      <c r="S25" s="247"/>
      <c r="T25" s="247"/>
      <c r="U25" s="247"/>
    </row>
    <row r="26" spans="2:21" x14ac:dyDescent="0.25">
      <c r="B26" s="247"/>
      <c r="C26" s="247"/>
      <c r="D26" s="247"/>
      <c r="E26" s="247"/>
      <c r="F26" s="247"/>
      <c r="G26" s="247"/>
      <c r="H26" s="247"/>
      <c r="I26" s="247"/>
      <c r="J26" s="247"/>
      <c r="K26" s="247"/>
      <c r="L26" s="247"/>
      <c r="M26" s="247"/>
      <c r="N26" s="247"/>
      <c r="O26" s="247"/>
      <c r="P26" s="247"/>
      <c r="Q26" s="247"/>
      <c r="R26" s="247"/>
      <c r="S26" s="247"/>
      <c r="T26" s="247"/>
      <c r="U26" s="247"/>
    </row>
    <row r="27" spans="2:21" x14ac:dyDescent="0.25">
      <c r="B27" s="247"/>
      <c r="C27" s="247"/>
      <c r="D27" s="247"/>
      <c r="E27" s="247"/>
      <c r="F27" s="247"/>
      <c r="G27" s="247"/>
      <c r="H27" s="247"/>
      <c r="I27" s="247"/>
      <c r="J27" s="247"/>
      <c r="K27" s="247"/>
      <c r="L27" s="247"/>
      <c r="M27" s="247"/>
      <c r="N27" s="247"/>
      <c r="O27" s="247"/>
      <c r="P27" s="247"/>
      <c r="Q27" s="247"/>
      <c r="R27" s="247"/>
      <c r="S27" s="247"/>
      <c r="T27" s="247"/>
      <c r="U27" s="247"/>
    </row>
    <row r="28" spans="2:21" x14ac:dyDescent="0.25">
      <c r="B28" s="247"/>
      <c r="C28" s="247"/>
      <c r="D28" s="247"/>
      <c r="E28" s="247"/>
      <c r="F28" s="247"/>
      <c r="G28" s="247"/>
      <c r="H28" s="247"/>
      <c r="I28" s="247"/>
      <c r="J28" s="247"/>
      <c r="K28" s="247"/>
      <c r="L28" s="247"/>
      <c r="M28" s="247"/>
      <c r="N28" s="247"/>
      <c r="O28" s="247"/>
      <c r="P28" s="247"/>
      <c r="Q28" s="247"/>
      <c r="R28" s="247"/>
      <c r="S28" s="247"/>
      <c r="T28" s="247"/>
      <c r="U28" s="247"/>
    </row>
    <row r="29" spans="2:21" x14ac:dyDescent="0.25">
      <c r="B29" s="247"/>
      <c r="C29" s="247"/>
      <c r="D29" s="247"/>
      <c r="E29" s="247"/>
      <c r="F29" s="247"/>
      <c r="G29" s="247"/>
      <c r="H29" s="247"/>
      <c r="I29" s="247"/>
      <c r="J29" s="247"/>
      <c r="K29" s="247"/>
      <c r="L29" s="247"/>
      <c r="M29" s="247"/>
      <c r="N29" s="247"/>
      <c r="O29" s="247"/>
      <c r="P29" s="247"/>
      <c r="Q29" s="247"/>
      <c r="R29" s="247"/>
      <c r="S29" s="247"/>
      <c r="T29" s="247"/>
      <c r="U29" s="247"/>
    </row>
    <row r="30" spans="2:21" x14ac:dyDescent="0.25">
      <c r="B30" s="247"/>
      <c r="C30" s="247"/>
      <c r="D30" s="247"/>
      <c r="E30" s="247"/>
      <c r="F30" s="247"/>
      <c r="G30" s="247"/>
      <c r="H30" s="247"/>
      <c r="I30" s="247"/>
      <c r="J30" s="247"/>
      <c r="K30" s="247"/>
      <c r="L30" s="247"/>
      <c r="M30" s="247"/>
      <c r="N30" s="247"/>
      <c r="O30" s="247"/>
      <c r="P30" s="247"/>
      <c r="Q30" s="247"/>
      <c r="R30" s="247"/>
      <c r="S30" s="247"/>
      <c r="T30" s="247"/>
      <c r="U30" s="247"/>
    </row>
    <row r="31" spans="2:21" x14ac:dyDescent="0.25">
      <c r="B31" s="247"/>
      <c r="C31" s="247"/>
      <c r="D31" s="247"/>
      <c r="E31" s="247"/>
      <c r="F31" s="247"/>
      <c r="G31" s="247"/>
      <c r="H31" s="247"/>
      <c r="I31" s="333"/>
      <c r="J31" s="333"/>
      <c r="K31" s="247"/>
      <c r="L31" s="247"/>
      <c r="M31" s="247"/>
      <c r="N31" s="247"/>
      <c r="O31" s="247"/>
      <c r="P31" s="247"/>
      <c r="Q31" s="247"/>
      <c r="R31" s="247"/>
      <c r="S31" s="247"/>
      <c r="T31" s="247"/>
      <c r="U31" s="247"/>
    </row>
    <row r="32" spans="2:21" x14ac:dyDescent="0.25">
      <c r="B32" s="247"/>
      <c r="C32" s="247"/>
      <c r="D32" s="247"/>
      <c r="E32" s="247"/>
      <c r="F32" s="247"/>
      <c r="G32" s="247"/>
      <c r="H32" s="247"/>
      <c r="I32" s="247"/>
      <c r="J32" s="247"/>
      <c r="K32" s="247"/>
      <c r="L32" s="247"/>
      <c r="M32" s="247"/>
      <c r="N32" s="247"/>
      <c r="O32" s="247"/>
      <c r="P32" s="247"/>
      <c r="Q32" s="247"/>
      <c r="R32" s="247"/>
      <c r="S32" s="247"/>
      <c r="T32" s="247"/>
      <c r="U32" s="247"/>
    </row>
    <row r="33" spans="2:21" x14ac:dyDescent="0.25">
      <c r="B33" s="247"/>
      <c r="C33" s="247"/>
      <c r="D33" s="247"/>
      <c r="E33" s="247"/>
      <c r="F33" s="247"/>
      <c r="G33" s="247"/>
      <c r="H33" s="247"/>
      <c r="I33" s="247"/>
      <c r="J33" s="247"/>
      <c r="K33" s="247"/>
      <c r="L33" s="247"/>
      <c r="M33" s="247"/>
      <c r="N33" s="247"/>
      <c r="O33" s="247"/>
      <c r="P33" s="247"/>
      <c r="Q33" s="247"/>
      <c r="R33" s="247"/>
      <c r="S33" s="247"/>
      <c r="T33" s="247"/>
      <c r="U33" s="247"/>
    </row>
    <row r="34" spans="2:21" x14ac:dyDescent="0.25">
      <c r="B34" s="247"/>
      <c r="C34" s="247"/>
      <c r="D34" s="247"/>
      <c r="E34" s="247"/>
      <c r="F34" s="247"/>
      <c r="G34" s="247"/>
      <c r="H34" s="247"/>
      <c r="I34" s="247"/>
      <c r="J34" s="247"/>
      <c r="K34" s="245"/>
      <c r="L34" s="247"/>
      <c r="M34" s="247"/>
      <c r="N34" s="247"/>
      <c r="O34" s="247"/>
      <c r="P34" s="247"/>
      <c r="Q34" s="247"/>
      <c r="R34" s="247"/>
      <c r="S34" s="247"/>
      <c r="T34" s="245"/>
      <c r="U34" s="247"/>
    </row>
    <row r="35" spans="2:21" x14ac:dyDescent="0.25">
      <c r="B35" s="247"/>
      <c r="C35" s="247"/>
      <c r="D35" s="247"/>
      <c r="E35" s="247"/>
      <c r="F35" s="247"/>
      <c r="G35" s="247"/>
      <c r="H35" s="247"/>
      <c r="I35" s="247"/>
      <c r="J35" s="247"/>
      <c r="K35" s="245"/>
      <c r="L35" s="247"/>
      <c r="M35" s="247"/>
      <c r="N35" s="247"/>
      <c r="O35" s="247"/>
      <c r="P35" s="247"/>
      <c r="Q35" s="247"/>
      <c r="R35" s="247"/>
      <c r="S35" s="247"/>
      <c r="T35" s="245"/>
      <c r="U35" s="247"/>
    </row>
    <row r="36" spans="2:21" x14ac:dyDescent="0.25">
      <c r="B36" s="247"/>
      <c r="C36" s="247"/>
      <c r="D36" s="247"/>
      <c r="E36" s="247"/>
      <c r="F36" s="247"/>
      <c r="G36" s="247"/>
      <c r="H36" s="247"/>
      <c r="I36" s="247"/>
      <c r="J36" s="247"/>
      <c r="K36" s="245"/>
      <c r="L36" s="247"/>
      <c r="M36" s="247"/>
      <c r="N36" s="247"/>
      <c r="O36" s="247"/>
      <c r="P36" s="247"/>
      <c r="Q36" s="247"/>
      <c r="R36" s="247"/>
      <c r="S36" s="247"/>
      <c r="T36" s="245"/>
      <c r="U36" s="247"/>
    </row>
    <row r="37" spans="2:21" x14ac:dyDescent="0.25">
      <c r="B37" s="247"/>
      <c r="C37" s="247"/>
      <c r="D37" s="247"/>
      <c r="E37" s="247"/>
      <c r="F37" s="247"/>
      <c r="G37" s="247"/>
      <c r="H37" s="247"/>
      <c r="I37" s="247"/>
      <c r="J37" s="247"/>
      <c r="K37" s="247"/>
      <c r="L37" s="247"/>
      <c r="M37" s="247"/>
      <c r="N37" s="247"/>
      <c r="O37" s="247"/>
      <c r="P37" s="247"/>
      <c r="Q37" s="247"/>
      <c r="R37" s="247"/>
      <c r="S37" s="247"/>
      <c r="T37" s="245"/>
      <c r="U37" s="247"/>
    </row>
    <row r="38" spans="2:21" x14ac:dyDescent="0.25">
      <c r="B38" s="247"/>
      <c r="C38" s="247"/>
      <c r="D38" s="247"/>
      <c r="E38" s="247"/>
      <c r="F38" s="247"/>
      <c r="G38" s="247"/>
      <c r="H38" s="247"/>
      <c r="I38" s="247"/>
      <c r="J38" s="247"/>
      <c r="K38" s="247"/>
      <c r="L38" s="247"/>
      <c r="M38" s="247"/>
      <c r="N38" s="247"/>
      <c r="O38" s="247"/>
      <c r="P38" s="247"/>
      <c r="Q38" s="247"/>
      <c r="R38" s="247"/>
      <c r="S38" s="247"/>
      <c r="T38" s="245"/>
      <c r="U38" s="247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AI63"/>
  <sheetViews>
    <sheetView zoomScale="60" zoomScaleNormal="60" workbookViewId="0"/>
  </sheetViews>
  <sheetFormatPr defaultColWidth="9.140625" defaultRowHeight="15" x14ac:dyDescent="0.25"/>
  <cols>
    <col min="1" max="1" width="3" style="32" customWidth="1"/>
    <col min="2" max="2" width="23.7109375" style="32" bestFit="1" customWidth="1"/>
    <col min="3" max="3" width="12" style="32" bestFit="1" customWidth="1"/>
    <col min="4" max="4" width="17" style="32" bestFit="1" customWidth="1"/>
    <col min="5" max="5" width="9.85546875" style="32" bestFit="1" customWidth="1"/>
    <col min="6" max="6" width="14" style="32" bestFit="1" customWidth="1"/>
    <col min="7" max="7" width="15.5703125" style="32" bestFit="1" customWidth="1"/>
    <col min="8" max="10" width="10.42578125" style="32" bestFit="1" customWidth="1"/>
    <col min="11" max="11" width="15.5703125" style="32" bestFit="1" customWidth="1"/>
    <col min="12" max="12" width="14" style="32" bestFit="1" customWidth="1"/>
    <col min="13" max="13" width="10.5703125" style="32" bestFit="1" customWidth="1"/>
    <col min="14" max="14" width="25.85546875" style="32" bestFit="1" customWidth="1"/>
    <col min="15" max="15" width="23.5703125" style="32" customWidth="1"/>
    <col min="16" max="16" width="2.85546875" style="32" customWidth="1"/>
    <col min="17" max="17" width="21.5703125" style="32" bestFit="1" customWidth="1"/>
    <col min="18" max="18" width="12" style="32" bestFit="1" customWidth="1"/>
    <col min="19" max="19" width="18.7109375" style="32" bestFit="1" customWidth="1"/>
    <col min="20" max="20" width="9.85546875" style="32" bestFit="1" customWidth="1"/>
    <col min="21" max="21" width="14" style="32" bestFit="1" customWidth="1"/>
    <col min="22" max="22" width="15.5703125" style="32" bestFit="1" customWidth="1"/>
    <col min="23" max="23" width="10.42578125" style="32" bestFit="1" customWidth="1"/>
    <col min="24" max="25" width="9.7109375" style="32" bestFit="1" customWidth="1"/>
    <col min="26" max="26" width="14.85546875" style="32" bestFit="1" customWidth="1"/>
    <col min="27" max="27" width="13.140625" style="32" bestFit="1" customWidth="1"/>
    <col min="28" max="28" width="10.5703125" style="32" bestFit="1" customWidth="1"/>
    <col min="29" max="29" width="25.85546875" style="32" bestFit="1" customWidth="1"/>
    <col min="30" max="30" width="25.5703125" style="32" customWidth="1"/>
    <col min="31" max="16384" width="9.140625" style="32"/>
  </cols>
  <sheetData>
    <row r="2" spans="2:30" x14ac:dyDescent="0.25">
      <c r="B2" s="130" t="s">
        <v>151</v>
      </c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95"/>
      <c r="R2" s="195"/>
    </row>
    <row r="3" spans="2:30" ht="15.75" thickBot="1" x14ac:dyDescent="0.3">
      <c r="B3" s="189" t="s">
        <v>50</v>
      </c>
      <c r="C3" s="244"/>
      <c r="D3" s="244"/>
      <c r="E3" s="244"/>
      <c r="F3" s="244"/>
      <c r="G3" s="244"/>
      <c r="H3" s="244"/>
      <c r="I3" s="244"/>
      <c r="J3" s="244"/>
      <c r="K3" s="244"/>
      <c r="L3" s="244"/>
      <c r="M3" s="244"/>
      <c r="N3" s="244"/>
      <c r="O3" s="244"/>
      <c r="Q3" s="137"/>
      <c r="R3" s="171"/>
      <c r="S3" s="244"/>
      <c r="T3" s="244"/>
      <c r="U3" s="244"/>
      <c r="V3" s="244"/>
      <c r="W3" s="244"/>
      <c r="X3" s="244"/>
      <c r="Y3" s="244"/>
      <c r="Z3" s="244"/>
      <c r="AA3" s="244"/>
      <c r="AB3" s="244"/>
      <c r="AC3" s="244"/>
    </row>
    <row r="4" spans="2:30" x14ac:dyDescent="0.25">
      <c r="B4" s="99" t="s">
        <v>152</v>
      </c>
      <c r="C4" s="100" t="s">
        <v>154</v>
      </c>
      <c r="D4" s="100" t="s">
        <v>79</v>
      </c>
      <c r="E4" s="138" t="s">
        <v>137</v>
      </c>
      <c r="F4" s="138" t="s">
        <v>138</v>
      </c>
      <c r="G4" s="138" t="s">
        <v>139</v>
      </c>
      <c r="H4" s="139" t="s">
        <v>140</v>
      </c>
      <c r="I4" s="138" t="s">
        <v>140</v>
      </c>
      <c r="J4" s="138" t="s">
        <v>140</v>
      </c>
      <c r="K4" s="139" t="s">
        <v>139</v>
      </c>
      <c r="L4" s="139" t="s">
        <v>138</v>
      </c>
      <c r="M4" s="139" t="s">
        <v>141</v>
      </c>
      <c r="N4" s="100" t="s">
        <v>243</v>
      </c>
      <c r="O4" s="229" t="s">
        <v>236</v>
      </c>
      <c r="P4" s="195"/>
      <c r="Q4" s="136" t="s">
        <v>208</v>
      </c>
      <c r="R4" s="222" t="s">
        <v>154</v>
      </c>
      <c r="S4" s="222" t="s">
        <v>79</v>
      </c>
      <c r="T4" s="223" t="s">
        <v>137</v>
      </c>
      <c r="U4" s="223" t="s">
        <v>138</v>
      </c>
      <c r="V4" s="223" t="s">
        <v>139</v>
      </c>
      <c r="W4" s="224" t="s">
        <v>140</v>
      </c>
      <c r="X4" s="223" t="s">
        <v>140</v>
      </c>
      <c r="Y4" s="223" t="s">
        <v>140</v>
      </c>
      <c r="Z4" s="224" t="s">
        <v>139</v>
      </c>
      <c r="AA4" s="224" t="s">
        <v>138</v>
      </c>
      <c r="AB4" s="224" t="s">
        <v>141</v>
      </c>
      <c r="AC4" s="100" t="s">
        <v>243</v>
      </c>
      <c r="AD4" s="218" t="s">
        <v>236</v>
      </c>
    </row>
    <row r="5" spans="2:30" x14ac:dyDescent="0.25">
      <c r="B5" s="103" t="s">
        <v>153</v>
      </c>
      <c r="C5" s="104" t="s">
        <v>5</v>
      </c>
      <c r="D5" s="132" t="s">
        <v>155</v>
      </c>
      <c r="E5" s="104">
        <v>2</v>
      </c>
      <c r="F5" s="104">
        <v>0</v>
      </c>
      <c r="G5" s="104">
        <v>2</v>
      </c>
      <c r="H5" s="104">
        <v>0</v>
      </c>
      <c r="I5" s="104">
        <v>0</v>
      </c>
      <c r="J5" s="104">
        <v>0</v>
      </c>
      <c r="K5" s="104">
        <v>0</v>
      </c>
      <c r="L5" s="104">
        <v>0</v>
      </c>
      <c r="M5" s="104">
        <v>0</v>
      </c>
      <c r="N5" s="217">
        <f t="shared" ref="N5:N12" si="0">SUM(E5:M5)</f>
        <v>4</v>
      </c>
      <c r="O5" s="230">
        <f>AVERAGE(N5:N6)</f>
        <v>7.5</v>
      </c>
      <c r="Q5" s="101" t="s">
        <v>153</v>
      </c>
      <c r="R5" s="13" t="s">
        <v>5</v>
      </c>
      <c r="S5" s="135" t="s">
        <v>155</v>
      </c>
      <c r="T5" s="102">
        <v>0</v>
      </c>
      <c r="U5" s="102">
        <v>11</v>
      </c>
      <c r="V5" s="102">
        <v>0</v>
      </c>
      <c r="W5" s="102">
        <v>0</v>
      </c>
      <c r="X5" s="102">
        <v>0</v>
      </c>
      <c r="Y5" s="102">
        <v>0</v>
      </c>
      <c r="Z5" s="102">
        <v>1</v>
      </c>
      <c r="AA5" s="102">
        <v>0</v>
      </c>
      <c r="AB5" s="102">
        <v>0</v>
      </c>
      <c r="AC5" s="225">
        <f t="shared" ref="AC5:AC12" si="1">SUM(T5:AB5)</f>
        <v>12</v>
      </c>
      <c r="AD5" s="232">
        <f>AVERAGE(AC5:AC6)</f>
        <v>12</v>
      </c>
    </row>
    <row r="6" spans="2:30" x14ac:dyDescent="0.25">
      <c r="B6" s="103"/>
      <c r="C6" s="104"/>
      <c r="D6" s="132" t="s">
        <v>156</v>
      </c>
      <c r="E6" s="104">
        <v>3</v>
      </c>
      <c r="F6" s="104">
        <v>0</v>
      </c>
      <c r="G6" s="104">
        <v>0</v>
      </c>
      <c r="H6" s="104">
        <v>0</v>
      </c>
      <c r="I6" s="104">
        <v>0</v>
      </c>
      <c r="J6" s="104">
        <v>0</v>
      </c>
      <c r="K6" s="104">
        <v>5</v>
      </c>
      <c r="L6" s="104">
        <v>3</v>
      </c>
      <c r="M6" s="104">
        <v>0</v>
      </c>
      <c r="N6" s="217">
        <f t="shared" si="0"/>
        <v>11</v>
      </c>
      <c r="O6" s="230"/>
      <c r="Q6" s="103"/>
      <c r="R6" s="15"/>
      <c r="S6" s="132" t="s">
        <v>156</v>
      </c>
      <c r="T6" s="104">
        <v>1</v>
      </c>
      <c r="U6" s="104">
        <v>2</v>
      </c>
      <c r="V6" s="104">
        <v>2</v>
      </c>
      <c r="W6" s="104">
        <v>0</v>
      </c>
      <c r="X6" s="104">
        <v>0</v>
      </c>
      <c r="Y6" s="104">
        <v>0</v>
      </c>
      <c r="Z6" s="104">
        <v>3</v>
      </c>
      <c r="AA6" s="104">
        <v>0</v>
      </c>
      <c r="AB6" s="104">
        <v>4</v>
      </c>
      <c r="AC6" s="226">
        <f t="shared" si="1"/>
        <v>12</v>
      </c>
      <c r="AD6" s="232"/>
    </row>
    <row r="7" spans="2:30" x14ac:dyDescent="0.25">
      <c r="B7" s="103"/>
      <c r="C7" s="104" t="s">
        <v>6</v>
      </c>
      <c r="D7" s="132" t="s">
        <v>155</v>
      </c>
      <c r="E7" s="104">
        <v>0</v>
      </c>
      <c r="F7" s="104">
        <v>1</v>
      </c>
      <c r="G7" s="104">
        <v>2</v>
      </c>
      <c r="H7" s="104">
        <v>0</v>
      </c>
      <c r="I7" s="104">
        <v>0</v>
      </c>
      <c r="J7" s="104">
        <v>0</v>
      </c>
      <c r="K7" s="104">
        <v>3</v>
      </c>
      <c r="L7" s="104">
        <v>1</v>
      </c>
      <c r="M7" s="104">
        <v>0</v>
      </c>
      <c r="N7" s="217">
        <f t="shared" si="0"/>
        <v>7</v>
      </c>
      <c r="O7" s="230">
        <f>AVERAGE(N7:N8)</f>
        <v>7.5</v>
      </c>
      <c r="P7" s="195"/>
      <c r="Q7" s="103"/>
      <c r="R7" s="15" t="s">
        <v>6</v>
      </c>
      <c r="S7" s="132" t="s">
        <v>155</v>
      </c>
      <c r="T7" s="104">
        <v>0</v>
      </c>
      <c r="U7" s="104">
        <v>13</v>
      </c>
      <c r="V7" s="104">
        <v>0</v>
      </c>
      <c r="W7" s="104">
        <v>0</v>
      </c>
      <c r="X7" s="104">
        <v>0</v>
      </c>
      <c r="Y7" s="104">
        <v>0</v>
      </c>
      <c r="Z7" s="104">
        <v>0</v>
      </c>
      <c r="AA7" s="104">
        <v>3</v>
      </c>
      <c r="AB7" s="104">
        <v>0</v>
      </c>
      <c r="AC7" s="226">
        <f t="shared" si="1"/>
        <v>16</v>
      </c>
      <c r="AD7" s="232">
        <f>AVERAGE(AC7:AC8)</f>
        <v>10.5</v>
      </c>
    </row>
    <row r="8" spans="2:30" x14ac:dyDescent="0.25">
      <c r="B8" s="103"/>
      <c r="C8" s="104"/>
      <c r="D8" s="132" t="s">
        <v>156</v>
      </c>
      <c r="E8" s="104">
        <v>0</v>
      </c>
      <c r="F8" s="104">
        <v>2</v>
      </c>
      <c r="G8" s="104">
        <v>3</v>
      </c>
      <c r="H8" s="104">
        <v>0</v>
      </c>
      <c r="I8" s="104">
        <v>0</v>
      </c>
      <c r="J8" s="104">
        <v>0</v>
      </c>
      <c r="K8" s="104">
        <v>2</v>
      </c>
      <c r="L8" s="104">
        <v>1</v>
      </c>
      <c r="M8" s="104">
        <v>0</v>
      </c>
      <c r="N8" s="217">
        <f t="shared" si="0"/>
        <v>8</v>
      </c>
      <c r="O8" s="230"/>
      <c r="Q8" s="103"/>
      <c r="R8" s="15"/>
      <c r="S8" s="132" t="s">
        <v>156</v>
      </c>
      <c r="T8" s="104">
        <v>1</v>
      </c>
      <c r="U8" s="104">
        <v>3</v>
      </c>
      <c r="V8" s="104">
        <v>0</v>
      </c>
      <c r="W8" s="104">
        <v>0</v>
      </c>
      <c r="X8" s="104">
        <v>0</v>
      </c>
      <c r="Y8" s="104">
        <v>0</v>
      </c>
      <c r="Z8" s="104">
        <v>0</v>
      </c>
      <c r="AA8" s="104">
        <v>1</v>
      </c>
      <c r="AB8" s="104">
        <v>0</v>
      </c>
      <c r="AC8" s="226">
        <f t="shared" si="1"/>
        <v>5</v>
      </c>
      <c r="AD8" s="232"/>
    </row>
    <row r="9" spans="2:30" x14ac:dyDescent="0.25">
      <c r="B9" s="103"/>
      <c r="C9" s="104" t="s">
        <v>7</v>
      </c>
      <c r="D9" s="132" t="s">
        <v>155</v>
      </c>
      <c r="E9" s="104">
        <v>3</v>
      </c>
      <c r="F9" s="104">
        <v>2</v>
      </c>
      <c r="G9" s="104">
        <v>1</v>
      </c>
      <c r="H9" s="104">
        <v>0</v>
      </c>
      <c r="I9" s="104">
        <v>0</v>
      </c>
      <c r="J9" s="104">
        <v>0</v>
      </c>
      <c r="K9" s="104">
        <v>0</v>
      </c>
      <c r="L9" s="104">
        <v>3</v>
      </c>
      <c r="M9" s="104">
        <v>2</v>
      </c>
      <c r="N9" s="217">
        <f t="shared" si="0"/>
        <v>11</v>
      </c>
      <c r="O9" s="230">
        <f>AVERAGE(N9:N10)</f>
        <v>10.5</v>
      </c>
      <c r="Q9" s="103"/>
      <c r="R9" s="15" t="s">
        <v>7</v>
      </c>
      <c r="S9" s="132" t="s">
        <v>155</v>
      </c>
      <c r="T9" s="104">
        <v>2</v>
      </c>
      <c r="U9" s="104">
        <v>7</v>
      </c>
      <c r="V9" s="104">
        <v>3</v>
      </c>
      <c r="W9" s="104">
        <v>0</v>
      </c>
      <c r="X9" s="104">
        <v>0</v>
      </c>
      <c r="Y9" s="104">
        <v>0</v>
      </c>
      <c r="Z9" s="104">
        <v>0</v>
      </c>
      <c r="AA9" s="104">
        <v>7</v>
      </c>
      <c r="AB9" s="104">
        <v>0</v>
      </c>
      <c r="AC9" s="226">
        <f t="shared" si="1"/>
        <v>19</v>
      </c>
      <c r="AD9" s="232">
        <f>AVERAGE(AC9:AC10)</f>
        <v>18.5</v>
      </c>
    </row>
    <row r="10" spans="2:30" x14ac:dyDescent="0.25">
      <c r="B10" s="103"/>
      <c r="C10" s="104"/>
      <c r="D10" s="132" t="s">
        <v>156</v>
      </c>
      <c r="E10" s="104">
        <v>3</v>
      </c>
      <c r="F10" s="104">
        <v>2</v>
      </c>
      <c r="G10" s="104">
        <v>0</v>
      </c>
      <c r="H10" s="104">
        <v>0</v>
      </c>
      <c r="I10" s="104">
        <v>0</v>
      </c>
      <c r="J10" s="104">
        <v>0</v>
      </c>
      <c r="K10" s="104">
        <v>1</v>
      </c>
      <c r="L10" s="104">
        <v>1</v>
      </c>
      <c r="M10" s="104">
        <v>3</v>
      </c>
      <c r="N10" s="217">
        <f t="shared" si="0"/>
        <v>10</v>
      </c>
      <c r="O10" s="230"/>
      <c r="Q10" s="103"/>
      <c r="R10" s="15"/>
      <c r="S10" s="132" t="s">
        <v>156</v>
      </c>
      <c r="T10" s="104">
        <v>2</v>
      </c>
      <c r="U10" s="104">
        <v>0</v>
      </c>
      <c r="V10" s="104">
        <v>2</v>
      </c>
      <c r="W10" s="104">
        <v>0</v>
      </c>
      <c r="X10" s="104">
        <v>0</v>
      </c>
      <c r="Y10" s="104">
        <v>0</v>
      </c>
      <c r="Z10" s="104">
        <v>2</v>
      </c>
      <c r="AA10" s="104">
        <v>8</v>
      </c>
      <c r="AB10" s="104">
        <v>4</v>
      </c>
      <c r="AC10" s="226">
        <f t="shared" si="1"/>
        <v>18</v>
      </c>
      <c r="AD10" s="232"/>
    </row>
    <row r="11" spans="2:30" x14ac:dyDescent="0.25">
      <c r="B11" s="103"/>
      <c r="C11" s="104" t="s">
        <v>8</v>
      </c>
      <c r="D11" s="132" t="s">
        <v>155</v>
      </c>
      <c r="E11" s="104">
        <v>1</v>
      </c>
      <c r="F11" s="104">
        <v>3</v>
      </c>
      <c r="G11" s="104">
        <v>2</v>
      </c>
      <c r="H11" s="104">
        <v>0</v>
      </c>
      <c r="I11" s="104">
        <v>0</v>
      </c>
      <c r="J11" s="104">
        <v>0</v>
      </c>
      <c r="K11" s="104">
        <v>0</v>
      </c>
      <c r="L11" s="104">
        <v>2</v>
      </c>
      <c r="M11" s="104">
        <v>2</v>
      </c>
      <c r="N11" s="217">
        <f t="shared" si="0"/>
        <v>10</v>
      </c>
      <c r="O11" s="230">
        <f>AVERAGE(N11:N12)</f>
        <v>9.5</v>
      </c>
      <c r="Q11" s="103"/>
      <c r="R11" s="15" t="s">
        <v>8</v>
      </c>
      <c r="S11" s="132" t="s">
        <v>155</v>
      </c>
      <c r="T11" s="104">
        <v>3</v>
      </c>
      <c r="U11" s="104">
        <v>2</v>
      </c>
      <c r="V11" s="104">
        <v>2</v>
      </c>
      <c r="W11" s="104">
        <v>0</v>
      </c>
      <c r="X11" s="104">
        <v>0</v>
      </c>
      <c r="Y11" s="104">
        <v>0</v>
      </c>
      <c r="Z11" s="104">
        <v>4</v>
      </c>
      <c r="AA11" s="104">
        <v>0</v>
      </c>
      <c r="AB11" s="104">
        <v>0</v>
      </c>
      <c r="AC11" s="226">
        <f t="shared" si="1"/>
        <v>11</v>
      </c>
      <c r="AD11" s="232">
        <f>AVERAGE(AC11:AC12)</f>
        <v>23.5</v>
      </c>
    </row>
    <row r="12" spans="2:30" x14ac:dyDescent="0.25">
      <c r="B12" s="103"/>
      <c r="C12" s="104"/>
      <c r="D12" s="132" t="s">
        <v>156</v>
      </c>
      <c r="E12" s="104">
        <v>2</v>
      </c>
      <c r="F12" s="104">
        <v>3</v>
      </c>
      <c r="G12" s="104">
        <v>0</v>
      </c>
      <c r="H12" s="104">
        <v>0</v>
      </c>
      <c r="I12" s="104">
        <v>0</v>
      </c>
      <c r="J12" s="104">
        <v>0</v>
      </c>
      <c r="K12" s="104">
        <v>2</v>
      </c>
      <c r="L12" s="104">
        <v>1</v>
      </c>
      <c r="M12" s="104">
        <v>1</v>
      </c>
      <c r="N12" s="217">
        <f t="shared" si="0"/>
        <v>9</v>
      </c>
      <c r="O12" s="230"/>
      <c r="Q12" s="103"/>
      <c r="R12" s="15"/>
      <c r="S12" s="132" t="s">
        <v>156</v>
      </c>
      <c r="T12" s="104">
        <v>1</v>
      </c>
      <c r="U12" s="104">
        <v>2</v>
      </c>
      <c r="V12" s="104">
        <v>3</v>
      </c>
      <c r="W12" s="104">
        <v>0</v>
      </c>
      <c r="X12" s="104">
        <v>0</v>
      </c>
      <c r="Y12" s="104">
        <v>20</v>
      </c>
      <c r="Z12" s="104">
        <v>2</v>
      </c>
      <c r="AA12" s="104">
        <v>5</v>
      </c>
      <c r="AB12" s="104">
        <v>3</v>
      </c>
      <c r="AC12" s="226">
        <f t="shared" si="1"/>
        <v>36</v>
      </c>
      <c r="AD12" s="232"/>
    </row>
    <row r="13" spans="2:30" x14ac:dyDescent="0.25">
      <c r="B13" s="103"/>
      <c r="C13" s="106" t="s">
        <v>56</v>
      </c>
      <c r="D13" s="192"/>
      <c r="E13" s="107"/>
      <c r="F13" s="107"/>
      <c r="G13" s="107"/>
      <c r="H13" s="107"/>
      <c r="I13" s="107"/>
      <c r="J13" s="107"/>
      <c r="K13" s="107"/>
      <c r="L13" s="107"/>
      <c r="M13" s="192"/>
      <c r="N13" s="192"/>
      <c r="O13" s="219">
        <f>AVERAGE(O5:O12)</f>
        <v>8.75</v>
      </c>
      <c r="Q13" s="103"/>
      <c r="R13" s="16" t="s">
        <v>56</v>
      </c>
      <c r="S13" s="192"/>
      <c r="T13" s="107"/>
      <c r="U13" s="107"/>
      <c r="V13" s="107"/>
      <c r="W13" s="107"/>
      <c r="X13" s="107"/>
      <c r="Y13" s="107"/>
      <c r="Z13" s="107"/>
      <c r="AA13" s="107"/>
      <c r="AB13" s="192"/>
      <c r="AC13" s="227"/>
      <c r="AD13" s="148">
        <f>AVERAGE(AD5:AD12)</f>
        <v>16.125</v>
      </c>
    </row>
    <row r="14" spans="2:30" x14ac:dyDescent="0.25">
      <c r="B14" s="103"/>
      <c r="C14" s="106" t="s">
        <v>22</v>
      </c>
      <c r="D14" s="192"/>
      <c r="E14" s="107"/>
      <c r="F14" s="107"/>
      <c r="G14" s="107"/>
      <c r="H14" s="107"/>
      <c r="I14" s="107"/>
      <c r="J14" s="107"/>
      <c r="K14" s="107"/>
      <c r="L14" s="107"/>
      <c r="M14" s="192"/>
      <c r="N14" s="192"/>
      <c r="O14" s="219">
        <f>_xlfn.STDEV.S(O5:O12)</f>
        <v>1.5</v>
      </c>
      <c r="Q14" s="103"/>
      <c r="R14" s="16" t="s">
        <v>22</v>
      </c>
      <c r="S14" s="192"/>
      <c r="T14" s="107"/>
      <c r="U14" s="107"/>
      <c r="V14" s="107"/>
      <c r="W14" s="107"/>
      <c r="X14" s="107"/>
      <c r="Y14" s="107"/>
      <c r="Z14" s="107"/>
      <c r="AA14" s="107"/>
      <c r="AB14" s="192"/>
      <c r="AC14" s="216"/>
      <c r="AD14" s="148">
        <f>_xlfn.STDEV.S(AD5:AD12)</f>
        <v>6.0190669265814503</v>
      </c>
    </row>
    <row r="15" spans="2:30" x14ac:dyDescent="0.25">
      <c r="B15" s="220" t="s">
        <v>152</v>
      </c>
      <c r="C15" s="190" t="s">
        <v>154</v>
      </c>
      <c r="D15" s="190" t="s">
        <v>79</v>
      </c>
      <c r="E15" s="46" t="s">
        <v>137</v>
      </c>
      <c r="F15" s="46" t="s">
        <v>138</v>
      </c>
      <c r="G15" s="46" t="s">
        <v>139</v>
      </c>
      <c r="H15" s="5" t="s">
        <v>140</v>
      </c>
      <c r="I15" s="46" t="s">
        <v>140</v>
      </c>
      <c r="J15" s="46" t="s">
        <v>140</v>
      </c>
      <c r="K15" s="5" t="s">
        <v>139</v>
      </c>
      <c r="L15" s="5" t="s">
        <v>138</v>
      </c>
      <c r="M15" s="5" t="s">
        <v>141</v>
      </c>
      <c r="N15" s="190" t="s">
        <v>243</v>
      </c>
      <c r="O15" s="231" t="s">
        <v>236</v>
      </c>
      <c r="P15" s="244"/>
      <c r="Q15" s="220" t="s">
        <v>10</v>
      </c>
      <c r="R15" s="5" t="s">
        <v>154</v>
      </c>
      <c r="S15" s="295" t="s">
        <v>79</v>
      </c>
      <c r="T15" s="133" t="s">
        <v>137</v>
      </c>
      <c r="U15" s="133" t="s">
        <v>138</v>
      </c>
      <c r="V15" s="133" t="s">
        <v>139</v>
      </c>
      <c r="W15" s="134" t="s">
        <v>140</v>
      </c>
      <c r="X15" s="133" t="s">
        <v>140</v>
      </c>
      <c r="Y15" s="133" t="s">
        <v>140</v>
      </c>
      <c r="Z15" s="134" t="s">
        <v>139</v>
      </c>
      <c r="AA15" s="134" t="s">
        <v>138</v>
      </c>
      <c r="AB15" s="134" t="s">
        <v>141</v>
      </c>
      <c r="AC15" s="190" t="s">
        <v>243</v>
      </c>
      <c r="AD15" s="150" t="s">
        <v>236</v>
      </c>
    </row>
    <row r="16" spans="2:30" x14ac:dyDescent="0.25">
      <c r="B16" s="103" t="s">
        <v>157</v>
      </c>
      <c r="C16" s="104" t="s">
        <v>5</v>
      </c>
      <c r="D16" s="132" t="s">
        <v>155</v>
      </c>
      <c r="E16" s="104">
        <v>22</v>
      </c>
      <c r="F16" s="104">
        <v>22</v>
      </c>
      <c r="G16" s="104">
        <v>1</v>
      </c>
      <c r="H16" s="104">
        <v>0</v>
      </c>
      <c r="I16" s="104">
        <v>0</v>
      </c>
      <c r="J16" s="104">
        <v>0</v>
      </c>
      <c r="K16" s="104">
        <v>0</v>
      </c>
      <c r="L16" s="104">
        <v>5</v>
      </c>
      <c r="M16" s="104">
        <v>38</v>
      </c>
      <c r="N16" s="217">
        <f>SUM(E16:M16)</f>
        <v>88</v>
      </c>
      <c r="O16" s="230">
        <f>AVERAGE(N16:N17)</f>
        <v>96.5</v>
      </c>
      <c r="P16" s="244"/>
      <c r="Q16" s="101" t="s">
        <v>157</v>
      </c>
      <c r="R16" s="13" t="s">
        <v>5</v>
      </c>
      <c r="S16" s="135" t="s">
        <v>155</v>
      </c>
      <c r="T16" s="102">
        <v>2</v>
      </c>
      <c r="U16" s="102">
        <v>8</v>
      </c>
      <c r="V16" s="102">
        <v>4</v>
      </c>
      <c r="W16" s="102">
        <v>0</v>
      </c>
      <c r="X16" s="102">
        <v>0</v>
      </c>
      <c r="Y16" s="102">
        <v>2</v>
      </c>
      <c r="Z16" s="102">
        <v>12</v>
      </c>
      <c r="AA16" s="102">
        <v>25</v>
      </c>
      <c r="AB16" s="102">
        <v>11</v>
      </c>
      <c r="AC16" s="225">
        <f>SUM(T16:AB16)</f>
        <v>64</v>
      </c>
      <c r="AD16" s="232">
        <f>AVERAGE(AC16:AC17)</f>
        <v>68</v>
      </c>
    </row>
    <row r="17" spans="2:35" x14ac:dyDescent="0.25">
      <c r="B17" s="131"/>
      <c r="C17" s="104"/>
      <c r="D17" s="132" t="s">
        <v>156</v>
      </c>
      <c r="E17" s="104">
        <v>16</v>
      </c>
      <c r="F17" s="104">
        <v>31</v>
      </c>
      <c r="G17" s="104">
        <v>5</v>
      </c>
      <c r="H17" s="104">
        <v>0</v>
      </c>
      <c r="I17" s="104">
        <v>0</v>
      </c>
      <c r="J17" s="104">
        <v>0</v>
      </c>
      <c r="K17" s="104">
        <v>18</v>
      </c>
      <c r="L17" s="104">
        <v>25</v>
      </c>
      <c r="M17" s="104">
        <v>10</v>
      </c>
      <c r="N17" s="217">
        <f t="shared" ref="N17:N23" si="2">SUM(E17:M17)</f>
        <v>105</v>
      </c>
      <c r="O17" s="230"/>
      <c r="P17" s="244"/>
      <c r="Q17" s="103"/>
      <c r="R17" s="15"/>
      <c r="S17" s="132" t="s">
        <v>156</v>
      </c>
      <c r="T17" s="104">
        <v>9</v>
      </c>
      <c r="U17" s="104">
        <v>18</v>
      </c>
      <c r="V17" s="104">
        <v>12</v>
      </c>
      <c r="W17" s="104">
        <v>0</v>
      </c>
      <c r="X17" s="104">
        <v>0</v>
      </c>
      <c r="Y17" s="104">
        <v>0</v>
      </c>
      <c r="Z17" s="104">
        <v>0</v>
      </c>
      <c r="AA17" s="104">
        <v>10</v>
      </c>
      <c r="AB17" s="104">
        <v>23</v>
      </c>
      <c r="AC17" s="226">
        <f t="shared" ref="AC17:AC23" si="3">SUM(T17:AB17)</f>
        <v>72</v>
      </c>
      <c r="AD17" s="232"/>
    </row>
    <row r="18" spans="2:35" x14ac:dyDescent="0.25">
      <c r="B18" s="131"/>
      <c r="C18" s="104" t="s">
        <v>6</v>
      </c>
      <c r="D18" s="132" t="s">
        <v>155</v>
      </c>
      <c r="E18" s="104">
        <v>32</v>
      </c>
      <c r="F18" s="104">
        <v>65</v>
      </c>
      <c r="G18" s="104">
        <v>12</v>
      </c>
      <c r="H18" s="104">
        <v>0</v>
      </c>
      <c r="I18" s="104">
        <v>0</v>
      </c>
      <c r="J18" s="104">
        <v>0</v>
      </c>
      <c r="K18" s="104">
        <v>2</v>
      </c>
      <c r="L18" s="104">
        <v>10</v>
      </c>
      <c r="M18" s="104">
        <v>20</v>
      </c>
      <c r="N18" s="217">
        <f t="shared" si="2"/>
        <v>141</v>
      </c>
      <c r="O18" s="230">
        <f>AVERAGE(N18:N19)</f>
        <v>166</v>
      </c>
      <c r="P18" s="110"/>
      <c r="Q18" s="103"/>
      <c r="R18" s="15" t="s">
        <v>6</v>
      </c>
      <c r="S18" s="132" t="s">
        <v>155</v>
      </c>
      <c r="T18" s="104">
        <v>27</v>
      </c>
      <c r="U18" s="104">
        <v>4</v>
      </c>
      <c r="V18" s="104"/>
      <c r="W18" s="104">
        <v>0</v>
      </c>
      <c r="X18" s="104">
        <v>0</v>
      </c>
      <c r="Y18" s="104">
        <v>0</v>
      </c>
      <c r="Z18" s="104">
        <v>2</v>
      </c>
      <c r="AA18" s="104">
        <v>5</v>
      </c>
      <c r="AB18" s="104">
        <v>12</v>
      </c>
      <c r="AC18" s="226">
        <f t="shared" si="3"/>
        <v>50</v>
      </c>
      <c r="AD18" s="232">
        <f>AVERAGE(AC18:AC19)</f>
        <v>48</v>
      </c>
    </row>
    <row r="19" spans="2:35" x14ac:dyDescent="0.25">
      <c r="B19" s="131"/>
      <c r="C19" s="104"/>
      <c r="D19" s="132" t="s">
        <v>156</v>
      </c>
      <c r="E19" s="104">
        <v>30</v>
      </c>
      <c r="F19" s="104">
        <v>28</v>
      </c>
      <c r="G19" s="104">
        <v>8</v>
      </c>
      <c r="H19" s="104">
        <v>0</v>
      </c>
      <c r="I19" s="104">
        <v>0</v>
      </c>
      <c r="J19" s="104">
        <v>0</v>
      </c>
      <c r="K19" s="104">
        <v>45</v>
      </c>
      <c r="L19" s="104">
        <v>44</v>
      </c>
      <c r="M19" s="104">
        <v>36</v>
      </c>
      <c r="N19" s="217">
        <f t="shared" si="2"/>
        <v>191</v>
      </c>
      <c r="O19" s="230"/>
      <c r="P19" s="171"/>
      <c r="Q19" s="103"/>
      <c r="R19" s="15"/>
      <c r="S19" s="132" t="s">
        <v>156</v>
      </c>
      <c r="T19" s="104">
        <v>5</v>
      </c>
      <c r="U19" s="104">
        <v>9</v>
      </c>
      <c r="V19" s="104">
        <v>4</v>
      </c>
      <c r="W19" s="104">
        <v>0</v>
      </c>
      <c r="X19" s="104">
        <v>0</v>
      </c>
      <c r="Y19" s="104">
        <v>0</v>
      </c>
      <c r="Z19" s="104">
        <v>0</v>
      </c>
      <c r="AA19" s="104">
        <v>5</v>
      </c>
      <c r="AB19" s="104">
        <v>23</v>
      </c>
      <c r="AC19" s="226">
        <f t="shared" si="3"/>
        <v>46</v>
      </c>
      <c r="AD19" s="232"/>
    </row>
    <row r="20" spans="2:35" x14ac:dyDescent="0.25">
      <c r="B20" s="131"/>
      <c r="C20" s="104" t="s">
        <v>7</v>
      </c>
      <c r="D20" s="132" t="s">
        <v>155</v>
      </c>
      <c r="E20" s="104">
        <v>21</v>
      </c>
      <c r="F20" s="104">
        <v>9</v>
      </c>
      <c r="G20" s="104">
        <v>0</v>
      </c>
      <c r="H20" s="104">
        <v>0</v>
      </c>
      <c r="I20" s="104">
        <v>0</v>
      </c>
      <c r="J20" s="104">
        <v>0</v>
      </c>
      <c r="K20" s="104">
        <v>10</v>
      </c>
      <c r="L20" s="104">
        <v>10</v>
      </c>
      <c r="M20" s="104">
        <v>5</v>
      </c>
      <c r="N20" s="217">
        <f t="shared" si="2"/>
        <v>55</v>
      </c>
      <c r="O20" s="230">
        <f>AVERAGE(N20:N21)</f>
        <v>78</v>
      </c>
      <c r="P20" s="171"/>
      <c r="Q20" s="103"/>
      <c r="R20" s="15" t="s">
        <v>7</v>
      </c>
      <c r="S20" s="132" t="s">
        <v>155</v>
      </c>
      <c r="T20" s="104">
        <v>13</v>
      </c>
      <c r="U20" s="104">
        <v>5</v>
      </c>
      <c r="V20" s="104">
        <v>1</v>
      </c>
      <c r="W20" s="104">
        <v>0</v>
      </c>
      <c r="X20" s="104">
        <v>0</v>
      </c>
      <c r="Y20" s="104">
        <v>0</v>
      </c>
      <c r="Z20" s="104">
        <v>1</v>
      </c>
      <c r="AA20" s="104">
        <v>11</v>
      </c>
      <c r="AB20" s="104">
        <v>18</v>
      </c>
      <c r="AC20" s="226">
        <f t="shared" si="3"/>
        <v>49</v>
      </c>
      <c r="AD20" s="232">
        <f>AVERAGE(AC20:AC21)</f>
        <v>55</v>
      </c>
    </row>
    <row r="21" spans="2:35" x14ac:dyDescent="0.25">
      <c r="B21" s="131"/>
      <c r="C21" s="104"/>
      <c r="D21" s="132" t="s">
        <v>156</v>
      </c>
      <c r="E21" s="104">
        <v>22</v>
      </c>
      <c r="F21" s="104">
        <v>7</v>
      </c>
      <c r="G21" s="104">
        <v>0</v>
      </c>
      <c r="H21" s="104">
        <v>0</v>
      </c>
      <c r="I21" s="104">
        <v>0</v>
      </c>
      <c r="J21" s="104">
        <v>0</v>
      </c>
      <c r="K21" s="104">
        <v>21</v>
      </c>
      <c r="L21" s="104">
        <v>40</v>
      </c>
      <c r="M21" s="104">
        <v>11</v>
      </c>
      <c r="N21" s="217">
        <f t="shared" si="2"/>
        <v>101</v>
      </c>
      <c r="O21" s="230"/>
      <c r="P21" s="110"/>
      <c r="Q21" s="103"/>
      <c r="R21" s="15"/>
      <c r="S21" s="132" t="s">
        <v>156</v>
      </c>
      <c r="T21" s="104">
        <v>7</v>
      </c>
      <c r="U21" s="104">
        <v>3</v>
      </c>
      <c r="V21" s="104">
        <v>1</v>
      </c>
      <c r="W21" s="104">
        <v>0</v>
      </c>
      <c r="X21" s="104">
        <v>0</v>
      </c>
      <c r="Y21" s="104">
        <v>0</v>
      </c>
      <c r="Z21" s="104">
        <v>0</v>
      </c>
      <c r="AA21" s="104">
        <v>12</v>
      </c>
      <c r="AB21" s="104">
        <v>38</v>
      </c>
      <c r="AC21" s="226">
        <f t="shared" si="3"/>
        <v>61</v>
      </c>
      <c r="AD21" s="232"/>
      <c r="AF21" s="195"/>
      <c r="AG21" s="195"/>
    </row>
    <row r="22" spans="2:35" x14ac:dyDescent="0.25">
      <c r="B22" s="131"/>
      <c r="C22" s="104" t="s">
        <v>8</v>
      </c>
      <c r="D22" s="132" t="s">
        <v>155</v>
      </c>
      <c r="E22" s="104">
        <v>20</v>
      </c>
      <c r="F22" s="104">
        <v>66</v>
      </c>
      <c r="G22" s="104">
        <v>18</v>
      </c>
      <c r="H22" s="104">
        <v>0</v>
      </c>
      <c r="I22" s="104">
        <v>0</v>
      </c>
      <c r="J22" s="104">
        <v>0</v>
      </c>
      <c r="K22" s="104">
        <v>8</v>
      </c>
      <c r="L22" s="104">
        <v>31</v>
      </c>
      <c r="M22" s="104">
        <v>15</v>
      </c>
      <c r="N22" s="217">
        <f t="shared" si="2"/>
        <v>158</v>
      </c>
      <c r="O22" s="230">
        <f>AVERAGE(N22:N23)</f>
        <v>160</v>
      </c>
      <c r="P22" s="110"/>
      <c r="Q22" s="103"/>
      <c r="R22" s="15" t="s">
        <v>8</v>
      </c>
      <c r="S22" s="132" t="s">
        <v>155</v>
      </c>
      <c r="T22" s="104">
        <v>25</v>
      </c>
      <c r="U22" s="104">
        <v>6</v>
      </c>
      <c r="V22" s="104">
        <v>3</v>
      </c>
      <c r="W22" s="104">
        <v>0</v>
      </c>
      <c r="X22" s="104">
        <v>0</v>
      </c>
      <c r="Y22" s="104">
        <v>0</v>
      </c>
      <c r="Z22" s="104">
        <v>2</v>
      </c>
      <c r="AA22" s="104">
        <v>25</v>
      </c>
      <c r="AB22" s="104">
        <v>15</v>
      </c>
      <c r="AC22" s="226">
        <f t="shared" si="3"/>
        <v>76</v>
      </c>
      <c r="AD22" s="232">
        <f>AVERAGE(AC22:AC23)</f>
        <v>53.5</v>
      </c>
    </row>
    <row r="23" spans="2:35" x14ac:dyDescent="0.25">
      <c r="B23" s="131"/>
      <c r="C23" s="104"/>
      <c r="D23" s="132" t="s">
        <v>156</v>
      </c>
      <c r="E23" s="104">
        <v>19</v>
      </c>
      <c r="F23" s="104">
        <v>42</v>
      </c>
      <c r="G23" s="104">
        <v>20</v>
      </c>
      <c r="H23" s="104">
        <v>0</v>
      </c>
      <c r="I23" s="104">
        <v>0</v>
      </c>
      <c r="J23" s="104">
        <v>0</v>
      </c>
      <c r="K23" s="104">
        <v>22</v>
      </c>
      <c r="L23" s="104">
        <v>33</v>
      </c>
      <c r="M23" s="104">
        <v>26</v>
      </c>
      <c r="N23" s="217">
        <f t="shared" si="2"/>
        <v>162</v>
      </c>
      <c r="O23" s="230"/>
      <c r="P23" s="110"/>
      <c r="Q23" s="103"/>
      <c r="R23" s="15"/>
      <c r="S23" s="132" t="s">
        <v>156</v>
      </c>
      <c r="T23" s="104">
        <v>1</v>
      </c>
      <c r="U23" s="104">
        <v>7</v>
      </c>
      <c r="V23" s="104">
        <v>1</v>
      </c>
      <c r="W23" s="104">
        <v>0</v>
      </c>
      <c r="X23" s="104">
        <v>0</v>
      </c>
      <c r="Y23" s="104">
        <v>0</v>
      </c>
      <c r="Z23" s="104">
        <v>2</v>
      </c>
      <c r="AA23" s="104">
        <v>12</v>
      </c>
      <c r="AB23" s="104">
        <v>8</v>
      </c>
      <c r="AC23" s="226">
        <f t="shared" si="3"/>
        <v>31</v>
      </c>
      <c r="AD23" s="232"/>
      <c r="AF23" s="195"/>
      <c r="AG23" s="195"/>
      <c r="AH23" s="195"/>
      <c r="AI23" s="195"/>
    </row>
    <row r="24" spans="2:35" x14ac:dyDescent="0.25">
      <c r="B24" s="103"/>
      <c r="C24" s="106" t="s">
        <v>56</v>
      </c>
      <c r="D24" s="106"/>
      <c r="E24" s="107"/>
      <c r="F24" s="107"/>
      <c r="G24" s="107"/>
      <c r="H24" s="107"/>
      <c r="I24" s="107"/>
      <c r="J24" s="107"/>
      <c r="K24" s="107"/>
      <c r="L24" s="107"/>
      <c r="M24" s="192"/>
      <c r="N24" s="192"/>
      <c r="O24" s="219">
        <f>AVERAGE(O16:O23)</f>
        <v>125.125</v>
      </c>
      <c r="P24" s="110"/>
      <c r="Q24" s="103"/>
      <c r="R24" s="16" t="s">
        <v>56</v>
      </c>
      <c r="S24" s="106"/>
      <c r="T24" s="107"/>
      <c r="U24" s="107"/>
      <c r="V24" s="107"/>
      <c r="W24" s="107"/>
      <c r="X24" s="107"/>
      <c r="Y24" s="107"/>
      <c r="Z24" s="107"/>
      <c r="AA24" s="107"/>
      <c r="AB24" s="104"/>
      <c r="AC24" s="227"/>
      <c r="AD24" s="148">
        <f>AVERAGE(AD16:AD23)</f>
        <v>56.125</v>
      </c>
    </row>
    <row r="25" spans="2:35" x14ac:dyDescent="0.25">
      <c r="B25" s="103"/>
      <c r="C25" s="106" t="s">
        <v>22</v>
      </c>
      <c r="D25" s="106"/>
      <c r="E25" s="107"/>
      <c r="F25" s="107"/>
      <c r="G25" s="107"/>
      <c r="H25" s="107"/>
      <c r="I25" s="107"/>
      <c r="J25" s="107"/>
      <c r="K25" s="107"/>
      <c r="L25" s="107"/>
      <c r="M25" s="192"/>
      <c r="N25" s="192"/>
      <c r="O25" s="219">
        <f>_xlfn.STDEV.S(O16:O23)</f>
        <v>44.449175095457811</v>
      </c>
      <c r="P25" s="110"/>
      <c r="Q25" s="103"/>
      <c r="R25" s="16" t="s">
        <v>22</v>
      </c>
      <c r="S25" s="106"/>
      <c r="T25" s="107"/>
      <c r="U25" s="107"/>
      <c r="V25" s="107"/>
      <c r="W25" s="107"/>
      <c r="X25" s="107"/>
      <c r="Y25" s="107"/>
      <c r="Z25" s="107"/>
      <c r="AA25" s="107"/>
      <c r="AB25" s="192"/>
      <c r="AC25" s="216"/>
      <c r="AD25" s="148">
        <f>_xlfn.STDEV.S(AD16:AD23)</f>
        <v>8.4693073309844333</v>
      </c>
      <c r="AF25" s="195"/>
      <c r="AI25" s="195"/>
    </row>
    <row r="26" spans="2:35" x14ac:dyDescent="0.25">
      <c r="B26" s="220" t="s">
        <v>152</v>
      </c>
      <c r="C26" s="190" t="s">
        <v>154</v>
      </c>
      <c r="D26" s="190" t="s">
        <v>79</v>
      </c>
      <c r="E26" s="46" t="s">
        <v>137</v>
      </c>
      <c r="F26" s="46" t="s">
        <v>138</v>
      </c>
      <c r="G26" s="46" t="s">
        <v>139</v>
      </c>
      <c r="H26" s="5" t="s">
        <v>140</v>
      </c>
      <c r="I26" s="46" t="s">
        <v>140</v>
      </c>
      <c r="J26" s="46" t="s">
        <v>140</v>
      </c>
      <c r="K26" s="5" t="s">
        <v>139</v>
      </c>
      <c r="L26" s="5" t="s">
        <v>138</v>
      </c>
      <c r="M26" s="5" t="s">
        <v>141</v>
      </c>
      <c r="N26" s="190" t="s">
        <v>243</v>
      </c>
      <c r="O26" s="231" t="s">
        <v>236</v>
      </c>
      <c r="P26" s="110"/>
      <c r="Q26" s="220" t="s">
        <v>10</v>
      </c>
      <c r="R26" s="5" t="s">
        <v>154</v>
      </c>
      <c r="S26" s="295" t="s">
        <v>79</v>
      </c>
      <c r="T26" s="46" t="s">
        <v>137</v>
      </c>
      <c r="U26" s="46" t="s">
        <v>138</v>
      </c>
      <c r="V26" s="46" t="s">
        <v>139</v>
      </c>
      <c r="W26" s="5" t="s">
        <v>140</v>
      </c>
      <c r="X26" s="46" t="s">
        <v>140</v>
      </c>
      <c r="Y26" s="46" t="s">
        <v>140</v>
      </c>
      <c r="Z26" s="5" t="s">
        <v>139</v>
      </c>
      <c r="AA26" s="5" t="s">
        <v>138</v>
      </c>
      <c r="AB26" s="5" t="s">
        <v>141</v>
      </c>
      <c r="AC26" s="190" t="s">
        <v>243</v>
      </c>
      <c r="AD26" s="231" t="s">
        <v>236</v>
      </c>
    </row>
    <row r="27" spans="2:35" x14ac:dyDescent="0.25">
      <c r="B27" s="103" t="s">
        <v>158</v>
      </c>
      <c r="C27" s="104" t="s">
        <v>5</v>
      </c>
      <c r="D27" s="132" t="s">
        <v>155</v>
      </c>
      <c r="E27" s="104">
        <v>21</v>
      </c>
      <c r="F27" s="104">
        <v>30</v>
      </c>
      <c r="G27" s="104">
        <v>20</v>
      </c>
      <c r="H27" s="104">
        <v>0</v>
      </c>
      <c r="I27" s="104">
        <v>2</v>
      </c>
      <c r="J27" s="104">
        <v>0</v>
      </c>
      <c r="K27" s="104">
        <v>13</v>
      </c>
      <c r="L27" s="104">
        <v>28</v>
      </c>
      <c r="M27" s="104">
        <v>12</v>
      </c>
      <c r="N27" s="217">
        <f>SUM(E27:M27)</f>
        <v>126</v>
      </c>
      <c r="O27" s="230">
        <f>AVERAGE(N27:N28)</f>
        <v>139.5</v>
      </c>
      <c r="P27" s="110"/>
      <c r="Q27" s="101" t="s">
        <v>158</v>
      </c>
      <c r="R27" s="13" t="s">
        <v>5</v>
      </c>
      <c r="S27" s="135" t="s">
        <v>155</v>
      </c>
      <c r="T27" s="102">
        <v>14</v>
      </c>
      <c r="U27" s="102">
        <v>24</v>
      </c>
      <c r="V27" s="102">
        <v>16</v>
      </c>
      <c r="W27" s="102">
        <v>3</v>
      </c>
      <c r="X27" s="102">
        <v>0</v>
      </c>
      <c r="Y27" s="102">
        <v>9</v>
      </c>
      <c r="Z27" s="102">
        <v>15</v>
      </c>
      <c r="AA27" s="102">
        <v>20</v>
      </c>
      <c r="AB27" s="102">
        <v>11</v>
      </c>
      <c r="AC27" s="225">
        <f>SUM(T27:AB27)</f>
        <v>112</v>
      </c>
      <c r="AD27" s="232">
        <f>AVERAGE(AC27:AC28)</f>
        <v>117.5</v>
      </c>
    </row>
    <row r="28" spans="2:35" ht="16.5" customHeight="1" x14ac:dyDescent="0.25">
      <c r="B28" s="103"/>
      <c r="C28" s="104"/>
      <c r="D28" s="132" t="s">
        <v>156</v>
      </c>
      <c r="E28" s="104">
        <v>15</v>
      </c>
      <c r="F28" s="104">
        <v>24</v>
      </c>
      <c r="G28" s="104">
        <v>55</v>
      </c>
      <c r="H28" s="104">
        <v>9</v>
      </c>
      <c r="I28" s="104">
        <v>2</v>
      </c>
      <c r="J28" s="104">
        <v>4</v>
      </c>
      <c r="K28" s="104">
        <v>22</v>
      </c>
      <c r="L28" s="104">
        <v>13</v>
      </c>
      <c r="M28" s="104">
        <v>9</v>
      </c>
      <c r="N28" s="217">
        <f>SUM(E28:M28)</f>
        <v>153</v>
      </c>
      <c r="O28" s="230"/>
      <c r="P28" s="171"/>
      <c r="Q28" s="103"/>
      <c r="R28" s="15"/>
      <c r="S28" s="132" t="s">
        <v>156</v>
      </c>
      <c r="T28" s="104">
        <v>14</v>
      </c>
      <c r="U28" s="104">
        <v>23</v>
      </c>
      <c r="V28" s="104">
        <v>15</v>
      </c>
      <c r="W28" s="104">
        <v>4</v>
      </c>
      <c r="X28" s="104">
        <v>0</v>
      </c>
      <c r="Y28" s="104">
        <v>8</v>
      </c>
      <c r="Z28" s="104">
        <v>21</v>
      </c>
      <c r="AA28" s="104">
        <v>19</v>
      </c>
      <c r="AB28" s="104">
        <v>19</v>
      </c>
      <c r="AC28" s="226">
        <f>SUM(T28:AB28)</f>
        <v>123</v>
      </c>
      <c r="AD28" s="232"/>
    </row>
    <row r="29" spans="2:35" x14ac:dyDescent="0.25">
      <c r="B29" s="103"/>
      <c r="C29" s="104" t="s">
        <v>6</v>
      </c>
      <c r="D29" s="132" t="s">
        <v>155</v>
      </c>
      <c r="E29" s="104">
        <v>25</v>
      </c>
      <c r="F29" s="104">
        <v>44</v>
      </c>
      <c r="G29" s="104">
        <v>22</v>
      </c>
      <c r="H29" s="104">
        <v>3</v>
      </c>
      <c r="I29" s="104">
        <v>0</v>
      </c>
      <c r="J29" s="104">
        <v>0</v>
      </c>
      <c r="K29" s="104">
        <v>17</v>
      </c>
      <c r="L29" s="104">
        <v>29</v>
      </c>
      <c r="M29" s="104">
        <v>4</v>
      </c>
      <c r="N29" s="217">
        <f>SUM(E29:M29)</f>
        <v>144</v>
      </c>
      <c r="O29" s="230">
        <f>AVERAGE(N29:N30)</f>
        <v>155</v>
      </c>
      <c r="P29" s="110"/>
      <c r="Q29" s="103"/>
      <c r="R29" s="15" t="s">
        <v>6</v>
      </c>
      <c r="S29" s="132" t="s">
        <v>155</v>
      </c>
      <c r="T29" s="104">
        <v>20</v>
      </c>
      <c r="U29" s="104">
        <v>24</v>
      </c>
      <c r="V29" s="104">
        <v>12</v>
      </c>
      <c r="W29" s="104">
        <v>3</v>
      </c>
      <c r="X29" s="104">
        <v>0</v>
      </c>
      <c r="Y29" s="104">
        <v>7</v>
      </c>
      <c r="Z29" s="104">
        <v>20</v>
      </c>
      <c r="AA29" s="104">
        <v>19</v>
      </c>
      <c r="AB29" s="104">
        <v>19</v>
      </c>
      <c r="AC29" s="226">
        <f>SUM(T29:AB29)</f>
        <v>124</v>
      </c>
      <c r="AD29" s="232">
        <f>AVERAGE(AC29:AC30)</f>
        <v>112.5</v>
      </c>
    </row>
    <row r="30" spans="2:35" x14ac:dyDescent="0.25">
      <c r="B30" s="103"/>
      <c r="C30" s="104"/>
      <c r="D30" s="132" t="s">
        <v>156</v>
      </c>
      <c r="E30" s="104">
        <v>6</v>
      </c>
      <c r="F30" s="104">
        <v>39</v>
      </c>
      <c r="G30" s="104">
        <v>23</v>
      </c>
      <c r="H30" s="104">
        <v>1</v>
      </c>
      <c r="I30" s="104">
        <v>0</v>
      </c>
      <c r="J30" s="104">
        <v>2</v>
      </c>
      <c r="K30" s="104">
        <v>27</v>
      </c>
      <c r="L30" s="104">
        <v>34</v>
      </c>
      <c r="M30" s="104">
        <v>34</v>
      </c>
      <c r="N30" s="217">
        <f t="shared" ref="N30:N33" si="4">SUM(E30:M30)</f>
        <v>166</v>
      </c>
      <c r="O30" s="230"/>
      <c r="P30" s="171"/>
      <c r="Q30" s="103"/>
      <c r="R30" s="15"/>
      <c r="S30" s="132" t="s">
        <v>156</v>
      </c>
      <c r="T30" s="104">
        <v>12</v>
      </c>
      <c r="U30" s="104">
        <v>19</v>
      </c>
      <c r="V30" s="104">
        <v>15</v>
      </c>
      <c r="W30" s="104">
        <v>0</v>
      </c>
      <c r="X30" s="104">
        <v>0</v>
      </c>
      <c r="Y30" s="104">
        <v>6</v>
      </c>
      <c r="Z30" s="104">
        <v>18</v>
      </c>
      <c r="AA30" s="104">
        <v>20</v>
      </c>
      <c r="AB30" s="104">
        <v>11</v>
      </c>
      <c r="AC30" s="226">
        <f t="shared" ref="AC30:AC33" si="5">SUM(T30:AB30)</f>
        <v>101</v>
      </c>
      <c r="AD30" s="232"/>
    </row>
    <row r="31" spans="2:35" x14ac:dyDescent="0.25">
      <c r="B31" s="103"/>
      <c r="C31" s="104" t="s">
        <v>7</v>
      </c>
      <c r="D31" s="132" t="s">
        <v>155</v>
      </c>
      <c r="E31" s="104">
        <v>20</v>
      </c>
      <c r="F31" s="104">
        <v>37</v>
      </c>
      <c r="G31" s="104">
        <v>20</v>
      </c>
      <c r="H31" s="104">
        <v>0</v>
      </c>
      <c r="I31" s="104">
        <v>0</v>
      </c>
      <c r="J31" s="104">
        <v>0</v>
      </c>
      <c r="K31" s="104">
        <v>14</v>
      </c>
      <c r="L31" s="104">
        <v>24</v>
      </c>
      <c r="M31" s="104">
        <v>18</v>
      </c>
      <c r="N31" s="217">
        <f t="shared" si="4"/>
        <v>133</v>
      </c>
      <c r="O31" s="230">
        <f>AVERAGE(N31:N32)</f>
        <v>146.5</v>
      </c>
      <c r="P31" s="171"/>
      <c r="Q31" s="103"/>
      <c r="R31" s="15" t="s">
        <v>7</v>
      </c>
      <c r="S31" s="132" t="s">
        <v>155</v>
      </c>
      <c r="T31" s="104">
        <v>16</v>
      </c>
      <c r="U31" s="104">
        <v>16</v>
      </c>
      <c r="V31" s="104">
        <v>12</v>
      </c>
      <c r="W31" s="104">
        <v>4</v>
      </c>
      <c r="X31" s="104">
        <v>0</v>
      </c>
      <c r="Y31" s="104">
        <v>4</v>
      </c>
      <c r="Z31" s="104">
        <v>20</v>
      </c>
      <c r="AA31" s="104">
        <v>19</v>
      </c>
      <c r="AB31" s="104">
        <v>12</v>
      </c>
      <c r="AC31" s="226">
        <f t="shared" si="5"/>
        <v>103</v>
      </c>
      <c r="AD31" s="232">
        <f>AVERAGE(AC31:AC32)</f>
        <v>114</v>
      </c>
    </row>
    <row r="32" spans="2:35" x14ac:dyDescent="0.25">
      <c r="B32" s="103"/>
      <c r="C32" s="104"/>
      <c r="D32" s="132" t="s">
        <v>156</v>
      </c>
      <c r="E32" s="104">
        <v>38</v>
      </c>
      <c r="F32" s="104">
        <v>20</v>
      </c>
      <c r="G32" s="104">
        <v>13</v>
      </c>
      <c r="H32" s="104">
        <v>0</v>
      </c>
      <c r="I32" s="104">
        <v>0</v>
      </c>
      <c r="J32" s="104">
        <v>0</v>
      </c>
      <c r="K32" s="104">
        <v>27</v>
      </c>
      <c r="L32" s="104">
        <v>34</v>
      </c>
      <c r="M32" s="104">
        <v>28</v>
      </c>
      <c r="N32" s="217">
        <f t="shared" si="4"/>
        <v>160</v>
      </c>
      <c r="O32" s="230"/>
      <c r="P32" s="171"/>
      <c r="Q32" s="103"/>
      <c r="R32" s="15"/>
      <c r="S32" s="132" t="s">
        <v>156</v>
      </c>
      <c r="T32" s="104">
        <v>18</v>
      </c>
      <c r="U32" s="104">
        <v>18</v>
      </c>
      <c r="V32" s="104">
        <v>22</v>
      </c>
      <c r="W32" s="104">
        <v>5</v>
      </c>
      <c r="X32" s="104">
        <v>0</v>
      </c>
      <c r="Y32" s="104">
        <v>5</v>
      </c>
      <c r="Z32" s="104">
        <v>23</v>
      </c>
      <c r="AA32" s="104">
        <v>22</v>
      </c>
      <c r="AB32" s="104">
        <v>12</v>
      </c>
      <c r="AC32" s="226">
        <f t="shared" si="5"/>
        <v>125</v>
      </c>
      <c r="AD32" s="232"/>
    </row>
    <row r="33" spans="2:33" x14ac:dyDescent="0.25">
      <c r="B33" s="103"/>
      <c r="C33" s="104" t="s">
        <v>8</v>
      </c>
      <c r="D33" s="132" t="s">
        <v>155</v>
      </c>
      <c r="E33" s="104">
        <v>25</v>
      </c>
      <c r="F33" s="104">
        <v>45</v>
      </c>
      <c r="G33" s="104">
        <v>25</v>
      </c>
      <c r="H33" s="104">
        <v>0</v>
      </c>
      <c r="I33" s="104">
        <v>0</v>
      </c>
      <c r="J33" s="104">
        <v>0</v>
      </c>
      <c r="K33" s="104">
        <v>13</v>
      </c>
      <c r="L33" s="104">
        <v>30</v>
      </c>
      <c r="M33" s="104">
        <v>23</v>
      </c>
      <c r="N33" s="217">
        <f t="shared" si="4"/>
        <v>161</v>
      </c>
      <c r="O33" s="230">
        <f>AVERAGE(N33:N34)</f>
        <v>198.5</v>
      </c>
      <c r="P33" s="110"/>
      <c r="Q33" s="103"/>
      <c r="R33" s="15" t="s">
        <v>8</v>
      </c>
      <c r="S33" s="132" t="s">
        <v>155</v>
      </c>
      <c r="T33" s="104">
        <v>13</v>
      </c>
      <c r="U33" s="104">
        <v>17</v>
      </c>
      <c r="V33" s="104">
        <v>19</v>
      </c>
      <c r="W33" s="104">
        <v>6</v>
      </c>
      <c r="X33" s="104">
        <v>0</v>
      </c>
      <c r="Y33" s="104">
        <v>4</v>
      </c>
      <c r="Z33" s="104">
        <v>22</v>
      </c>
      <c r="AA33" s="104">
        <v>24</v>
      </c>
      <c r="AB33" s="104">
        <v>16</v>
      </c>
      <c r="AC33" s="226">
        <f t="shared" si="5"/>
        <v>121</v>
      </c>
      <c r="AD33" s="232">
        <f>AVERAGE(AC33:AC34)</f>
        <v>117</v>
      </c>
    </row>
    <row r="34" spans="2:33" x14ac:dyDescent="0.25">
      <c r="B34" s="103"/>
      <c r="C34" s="104"/>
      <c r="D34" s="132" t="s">
        <v>156</v>
      </c>
      <c r="E34" s="104">
        <v>50</v>
      </c>
      <c r="F34" s="104">
        <v>18</v>
      </c>
      <c r="G34" s="104">
        <v>26</v>
      </c>
      <c r="H34" s="104">
        <v>0</v>
      </c>
      <c r="I34" s="104">
        <v>0</v>
      </c>
      <c r="J34" s="104">
        <v>9</v>
      </c>
      <c r="K34" s="104">
        <v>55</v>
      </c>
      <c r="L34" s="104">
        <v>62</v>
      </c>
      <c r="M34" s="104">
        <v>16</v>
      </c>
      <c r="N34" s="217">
        <f>SUM(E34:M34)</f>
        <v>236</v>
      </c>
      <c r="O34" s="230"/>
      <c r="P34" s="110"/>
      <c r="Q34" s="103"/>
      <c r="R34" s="15"/>
      <c r="S34" s="132" t="s">
        <v>156</v>
      </c>
      <c r="T34" s="104">
        <v>16</v>
      </c>
      <c r="U34" s="104">
        <v>21</v>
      </c>
      <c r="V34" s="104">
        <v>20</v>
      </c>
      <c r="W34" s="104">
        <v>7</v>
      </c>
      <c r="X34" s="104">
        <v>0</v>
      </c>
      <c r="Y34" s="104">
        <v>0</v>
      </c>
      <c r="Z34" s="104">
        <v>11</v>
      </c>
      <c r="AA34" s="104">
        <v>25</v>
      </c>
      <c r="AB34" s="104">
        <v>13</v>
      </c>
      <c r="AC34" s="226">
        <f>SUM(T34:AB34)</f>
        <v>113</v>
      </c>
      <c r="AD34" s="232"/>
    </row>
    <row r="35" spans="2:33" x14ac:dyDescent="0.25">
      <c r="B35" s="103"/>
      <c r="C35" s="106" t="s">
        <v>56</v>
      </c>
      <c r="D35" s="106"/>
      <c r="E35" s="107"/>
      <c r="F35" s="107"/>
      <c r="G35" s="107"/>
      <c r="H35" s="107"/>
      <c r="I35" s="107"/>
      <c r="J35" s="107"/>
      <c r="K35" s="107"/>
      <c r="L35" s="107"/>
      <c r="M35" s="104"/>
      <c r="N35" s="104"/>
      <c r="O35" s="219">
        <f>AVERAGE(O27:O34)</f>
        <v>159.875</v>
      </c>
      <c r="P35" s="110"/>
      <c r="Q35" s="103"/>
      <c r="R35" s="16" t="s">
        <v>56</v>
      </c>
      <c r="S35" s="106"/>
      <c r="T35" s="107"/>
      <c r="U35" s="107"/>
      <c r="V35" s="107"/>
      <c r="W35" s="107"/>
      <c r="X35" s="107"/>
      <c r="Y35" s="107"/>
      <c r="Z35" s="107"/>
      <c r="AA35" s="107"/>
      <c r="AB35" s="108"/>
      <c r="AC35" s="216"/>
      <c r="AD35" s="148">
        <f>AVERAGE(AD27:AD34)</f>
        <v>115.25</v>
      </c>
    </row>
    <row r="36" spans="2:33" x14ac:dyDescent="0.25">
      <c r="B36" s="103"/>
      <c r="C36" s="106" t="s">
        <v>22</v>
      </c>
      <c r="D36" s="106"/>
      <c r="E36" s="107"/>
      <c r="F36" s="107"/>
      <c r="G36" s="107"/>
      <c r="H36" s="107"/>
      <c r="I36" s="107"/>
      <c r="J36" s="107"/>
      <c r="K36" s="107"/>
      <c r="L36" s="107"/>
      <c r="M36" s="192"/>
      <c r="N36" s="192"/>
      <c r="O36" s="219">
        <f>_xlfn.STDEV.S(O27:O34)</f>
        <v>26.518468407256606</v>
      </c>
      <c r="P36" s="110"/>
      <c r="Q36" s="103"/>
      <c r="R36" s="16" t="s">
        <v>22</v>
      </c>
      <c r="S36" s="106"/>
      <c r="T36" s="107"/>
      <c r="U36" s="107"/>
      <c r="V36" s="107"/>
      <c r="W36" s="107"/>
      <c r="X36" s="107"/>
      <c r="Y36" s="107"/>
      <c r="Z36" s="107"/>
      <c r="AA36" s="107"/>
      <c r="AB36" s="108"/>
      <c r="AC36" s="216"/>
      <c r="AD36" s="148">
        <f>_xlfn.STDEV.S(AD27:AD34)</f>
        <v>2.3979157616563596</v>
      </c>
    </row>
    <row r="37" spans="2:33" x14ac:dyDescent="0.25">
      <c r="B37" s="220" t="s">
        <v>152</v>
      </c>
      <c r="C37" s="190" t="s">
        <v>154</v>
      </c>
      <c r="D37" s="190" t="s">
        <v>79</v>
      </c>
      <c r="E37" s="46" t="s">
        <v>137</v>
      </c>
      <c r="F37" s="46" t="s">
        <v>138</v>
      </c>
      <c r="G37" s="46" t="s">
        <v>139</v>
      </c>
      <c r="H37" s="5" t="s">
        <v>140</v>
      </c>
      <c r="I37" s="46" t="s">
        <v>140</v>
      </c>
      <c r="J37" s="46" t="s">
        <v>140</v>
      </c>
      <c r="K37" s="5" t="s">
        <v>139</v>
      </c>
      <c r="L37" s="5" t="s">
        <v>138</v>
      </c>
      <c r="M37" s="5" t="s">
        <v>141</v>
      </c>
      <c r="N37" s="190" t="s">
        <v>243</v>
      </c>
      <c r="O37" s="231" t="s">
        <v>236</v>
      </c>
      <c r="P37" s="171"/>
      <c r="Q37" s="220" t="s">
        <v>10</v>
      </c>
      <c r="R37" s="5" t="s">
        <v>154</v>
      </c>
      <c r="S37" s="295" t="s">
        <v>79</v>
      </c>
      <c r="T37" s="46" t="s">
        <v>137</v>
      </c>
      <c r="U37" s="46" t="s">
        <v>138</v>
      </c>
      <c r="V37" s="46" t="s">
        <v>139</v>
      </c>
      <c r="W37" s="5" t="s">
        <v>140</v>
      </c>
      <c r="X37" s="46" t="s">
        <v>140</v>
      </c>
      <c r="Y37" s="46" t="s">
        <v>140</v>
      </c>
      <c r="Z37" s="5" t="s">
        <v>139</v>
      </c>
      <c r="AA37" s="5" t="s">
        <v>138</v>
      </c>
      <c r="AB37" s="5" t="s">
        <v>141</v>
      </c>
      <c r="AC37" s="190" t="s">
        <v>243</v>
      </c>
      <c r="AD37" s="231" t="s">
        <v>236</v>
      </c>
    </row>
    <row r="38" spans="2:33" x14ac:dyDescent="0.25">
      <c r="B38" s="103" t="s">
        <v>159</v>
      </c>
      <c r="C38" s="104" t="s">
        <v>5</v>
      </c>
      <c r="D38" s="132" t="s">
        <v>155</v>
      </c>
      <c r="E38" s="104">
        <v>3</v>
      </c>
      <c r="F38" s="104">
        <v>10</v>
      </c>
      <c r="G38" s="104">
        <v>31</v>
      </c>
      <c r="H38" s="104">
        <v>6</v>
      </c>
      <c r="I38" s="104">
        <v>4</v>
      </c>
      <c r="J38" s="104">
        <v>6</v>
      </c>
      <c r="K38" s="104">
        <v>26</v>
      </c>
      <c r="L38" s="104">
        <v>7</v>
      </c>
      <c r="M38" s="104">
        <v>14</v>
      </c>
      <c r="N38" s="217">
        <f>SUM(E38:M38)</f>
        <v>107</v>
      </c>
      <c r="O38" s="230">
        <f>AVERAGE(N38:N39)</f>
        <v>112.5</v>
      </c>
      <c r="P38" s="171"/>
      <c r="Q38" s="101" t="s">
        <v>159</v>
      </c>
      <c r="R38" s="13" t="s">
        <v>5</v>
      </c>
      <c r="S38" s="135" t="s">
        <v>155</v>
      </c>
      <c r="T38" s="102">
        <v>1</v>
      </c>
      <c r="U38" s="102">
        <v>2</v>
      </c>
      <c r="V38" s="102">
        <v>4</v>
      </c>
      <c r="W38" s="102">
        <v>4</v>
      </c>
      <c r="X38" s="102">
        <v>3</v>
      </c>
      <c r="Y38" s="102">
        <v>4</v>
      </c>
      <c r="Z38" s="102">
        <v>5</v>
      </c>
      <c r="AA38" s="102">
        <v>4</v>
      </c>
      <c r="AB38" s="102">
        <v>5</v>
      </c>
      <c r="AC38" s="225">
        <f>SUM(T38:AB38)</f>
        <v>32</v>
      </c>
      <c r="AD38" s="232">
        <f>AVERAGE(AC38:AC39)</f>
        <v>28</v>
      </c>
    </row>
    <row r="39" spans="2:33" x14ac:dyDescent="0.25">
      <c r="B39" s="103"/>
      <c r="C39" s="104"/>
      <c r="D39" s="132" t="s">
        <v>156</v>
      </c>
      <c r="E39" s="104">
        <v>10</v>
      </c>
      <c r="F39" s="104">
        <v>10</v>
      </c>
      <c r="G39" s="104">
        <v>27</v>
      </c>
      <c r="H39" s="104">
        <v>16</v>
      </c>
      <c r="I39" s="104">
        <v>2</v>
      </c>
      <c r="J39" s="104">
        <v>4</v>
      </c>
      <c r="K39" s="104">
        <v>22</v>
      </c>
      <c r="L39" s="104">
        <v>18</v>
      </c>
      <c r="M39" s="104">
        <v>9</v>
      </c>
      <c r="N39" s="217">
        <f>SUM(E39:M39)</f>
        <v>118</v>
      </c>
      <c r="O39" s="230"/>
      <c r="P39" s="171"/>
      <c r="Q39" s="131"/>
      <c r="R39" s="15"/>
      <c r="S39" s="132" t="s">
        <v>156</v>
      </c>
      <c r="T39" s="104">
        <v>1</v>
      </c>
      <c r="U39" s="104">
        <v>3</v>
      </c>
      <c r="V39" s="104">
        <v>4</v>
      </c>
      <c r="W39" s="104">
        <v>4</v>
      </c>
      <c r="X39" s="104">
        <v>3</v>
      </c>
      <c r="Y39" s="104">
        <v>2</v>
      </c>
      <c r="Z39" s="104">
        <v>3</v>
      </c>
      <c r="AA39" s="104">
        <v>4</v>
      </c>
      <c r="AB39" s="104">
        <v>0</v>
      </c>
      <c r="AC39" s="226">
        <f>SUM(T39:AB39)</f>
        <v>24</v>
      </c>
      <c r="AD39" s="232"/>
    </row>
    <row r="40" spans="2:33" x14ac:dyDescent="0.25">
      <c r="B40" s="103"/>
      <c r="C40" s="104" t="s">
        <v>6</v>
      </c>
      <c r="D40" s="132" t="s">
        <v>155</v>
      </c>
      <c r="E40" s="104">
        <v>6</v>
      </c>
      <c r="F40" s="104">
        <v>10</v>
      </c>
      <c r="G40" s="104">
        <v>18</v>
      </c>
      <c r="H40" s="104">
        <v>2</v>
      </c>
      <c r="I40" s="104">
        <v>8</v>
      </c>
      <c r="J40" s="104">
        <v>4</v>
      </c>
      <c r="K40" s="104">
        <v>20</v>
      </c>
      <c r="L40" s="104">
        <v>19</v>
      </c>
      <c r="M40" s="104">
        <v>5</v>
      </c>
      <c r="N40" s="217">
        <f>SUM(E40:M40)</f>
        <v>92</v>
      </c>
      <c r="O40" s="230">
        <f>AVERAGE(N40:N41)</f>
        <v>86</v>
      </c>
      <c r="P40" s="110"/>
      <c r="Q40" s="131"/>
      <c r="R40" s="15" t="s">
        <v>6</v>
      </c>
      <c r="S40" s="132" t="s">
        <v>155</v>
      </c>
      <c r="T40" s="104">
        <v>1</v>
      </c>
      <c r="U40" s="104">
        <v>5</v>
      </c>
      <c r="V40" s="104">
        <v>5</v>
      </c>
      <c r="W40" s="104">
        <v>8</v>
      </c>
      <c r="X40" s="104">
        <v>12</v>
      </c>
      <c r="Y40" s="104">
        <v>8</v>
      </c>
      <c r="Z40" s="104">
        <v>9</v>
      </c>
      <c r="AA40" s="104">
        <v>4</v>
      </c>
      <c r="AB40" s="104">
        <v>1</v>
      </c>
      <c r="AC40" s="226">
        <f>SUM(T40:AB40)</f>
        <v>53</v>
      </c>
      <c r="AD40" s="232">
        <f>AVERAGE(AC40:AC41)</f>
        <v>62</v>
      </c>
    </row>
    <row r="41" spans="2:33" x14ac:dyDescent="0.25">
      <c r="B41" s="103"/>
      <c r="C41" s="104"/>
      <c r="D41" s="132" t="s">
        <v>156</v>
      </c>
      <c r="E41" s="104">
        <v>3</v>
      </c>
      <c r="F41" s="104">
        <v>20</v>
      </c>
      <c r="G41" s="104">
        <v>12</v>
      </c>
      <c r="H41" s="104">
        <v>8</v>
      </c>
      <c r="I41" s="104">
        <v>4</v>
      </c>
      <c r="J41" s="104">
        <v>4</v>
      </c>
      <c r="K41" s="104">
        <v>3</v>
      </c>
      <c r="L41" s="104">
        <v>13</v>
      </c>
      <c r="M41" s="104">
        <v>13</v>
      </c>
      <c r="N41" s="217">
        <f t="shared" ref="N41:N44" si="6">SUM(E41:M41)</f>
        <v>80</v>
      </c>
      <c r="O41" s="230"/>
      <c r="P41" s="110"/>
      <c r="Q41" s="131"/>
      <c r="R41" s="15"/>
      <c r="S41" s="132" t="s">
        <v>156</v>
      </c>
      <c r="T41" s="104">
        <v>1</v>
      </c>
      <c r="U41" s="104">
        <v>5</v>
      </c>
      <c r="V41" s="104">
        <v>10</v>
      </c>
      <c r="W41" s="104">
        <v>14</v>
      </c>
      <c r="X41" s="104">
        <v>9</v>
      </c>
      <c r="Y41" s="104">
        <v>10</v>
      </c>
      <c r="Z41" s="104">
        <v>10</v>
      </c>
      <c r="AA41" s="104">
        <v>10</v>
      </c>
      <c r="AB41" s="104">
        <v>2</v>
      </c>
      <c r="AC41" s="226">
        <f t="shared" ref="AC41:AC44" si="7">SUM(T41:AB41)</f>
        <v>71</v>
      </c>
      <c r="AD41" s="232"/>
      <c r="AG41" s="195"/>
    </row>
    <row r="42" spans="2:33" x14ac:dyDescent="0.25">
      <c r="B42" s="103"/>
      <c r="C42" s="104" t="s">
        <v>7</v>
      </c>
      <c r="D42" s="132" t="s">
        <v>155</v>
      </c>
      <c r="E42" s="104">
        <v>20</v>
      </c>
      <c r="F42" s="104">
        <v>19</v>
      </c>
      <c r="G42" s="104">
        <v>7</v>
      </c>
      <c r="H42" s="104">
        <v>7</v>
      </c>
      <c r="I42" s="104">
        <v>5</v>
      </c>
      <c r="J42" s="104">
        <v>6</v>
      </c>
      <c r="K42" s="104">
        <v>8</v>
      </c>
      <c r="L42" s="104">
        <v>7</v>
      </c>
      <c r="M42" s="104">
        <v>13</v>
      </c>
      <c r="N42" s="217">
        <f t="shared" si="6"/>
        <v>92</v>
      </c>
      <c r="O42" s="230">
        <f>AVERAGE(N42:N43)</f>
        <v>91.5</v>
      </c>
      <c r="P42" s="110"/>
      <c r="Q42" s="131"/>
      <c r="R42" s="15" t="s">
        <v>7</v>
      </c>
      <c r="S42" s="132" t="s">
        <v>155</v>
      </c>
      <c r="T42" s="104">
        <v>0</v>
      </c>
      <c r="U42" s="104">
        <v>4</v>
      </c>
      <c r="V42" s="104">
        <v>3</v>
      </c>
      <c r="W42" s="104">
        <v>6</v>
      </c>
      <c r="X42" s="104">
        <v>4</v>
      </c>
      <c r="Y42" s="104">
        <v>2</v>
      </c>
      <c r="Z42" s="104">
        <v>8</v>
      </c>
      <c r="AA42" s="104">
        <v>4</v>
      </c>
      <c r="AB42" s="104">
        <v>1</v>
      </c>
      <c r="AC42" s="226">
        <f t="shared" si="7"/>
        <v>32</v>
      </c>
      <c r="AD42" s="232">
        <f>AVERAGE(AC42:AC43)</f>
        <v>34</v>
      </c>
    </row>
    <row r="43" spans="2:33" x14ac:dyDescent="0.25">
      <c r="B43" s="103"/>
      <c r="C43" s="104"/>
      <c r="D43" s="132" t="s">
        <v>156</v>
      </c>
      <c r="E43" s="104">
        <v>13</v>
      </c>
      <c r="F43" s="104">
        <v>7</v>
      </c>
      <c r="G43" s="104">
        <v>6</v>
      </c>
      <c r="H43" s="104">
        <v>5</v>
      </c>
      <c r="I43" s="104">
        <v>8</v>
      </c>
      <c r="J43" s="104">
        <v>7</v>
      </c>
      <c r="K43" s="104">
        <v>10</v>
      </c>
      <c r="L43" s="104">
        <v>12</v>
      </c>
      <c r="M43" s="104">
        <v>23</v>
      </c>
      <c r="N43" s="217">
        <f t="shared" si="6"/>
        <v>91</v>
      </c>
      <c r="O43" s="230"/>
      <c r="P43" s="110"/>
      <c r="Q43" s="131"/>
      <c r="R43" s="15"/>
      <c r="S43" s="132" t="s">
        <v>156</v>
      </c>
      <c r="T43" s="104">
        <v>0</v>
      </c>
      <c r="U43" s="104">
        <v>0</v>
      </c>
      <c r="V43" s="104">
        <v>4</v>
      </c>
      <c r="W43" s="104">
        <v>10</v>
      </c>
      <c r="X43" s="104">
        <v>0</v>
      </c>
      <c r="Y43" s="104">
        <v>7</v>
      </c>
      <c r="Z43" s="104">
        <v>10</v>
      </c>
      <c r="AA43" s="104">
        <v>2</v>
      </c>
      <c r="AB43" s="104">
        <v>3</v>
      </c>
      <c r="AC43" s="226">
        <f t="shared" si="7"/>
        <v>36</v>
      </c>
      <c r="AD43" s="232"/>
    </row>
    <row r="44" spans="2:33" x14ac:dyDescent="0.25">
      <c r="B44" s="103"/>
      <c r="C44" s="104" t="s">
        <v>8</v>
      </c>
      <c r="D44" s="132" t="s">
        <v>155</v>
      </c>
      <c r="E44" s="104">
        <v>9</v>
      </c>
      <c r="F44" s="104">
        <v>12</v>
      </c>
      <c r="G44" s="104">
        <v>13</v>
      </c>
      <c r="H44" s="104">
        <v>17</v>
      </c>
      <c r="I44" s="104">
        <v>4</v>
      </c>
      <c r="J44" s="104">
        <v>4</v>
      </c>
      <c r="K44" s="104">
        <v>8</v>
      </c>
      <c r="L44" s="104">
        <v>7</v>
      </c>
      <c r="M44" s="104">
        <v>4</v>
      </c>
      <c r="N44" s="217">
        <f t="shared" si="6"/>
        <v>78</v>
      </c>
      <c r="O44" s="230">
        <f>AVERAGE(N44:N45)</f>
        <v>86.5</v>
      </c>
      <c r="P44" s="110"/>
      <c r="Q44" s="131"/>
      <c r="R44" s="15" t="s">
        <v>8</v>
      </c>
      <c r="S44" s="132" t="s">
        <v>155</v>
      </c>
      <c r="T44" s="104">
        <v>0</v>
      </c>
      <c r="U44" s="104">
        <v>4</v>
      </c>
      <c r="V44" s="104">
        <v>3</v>
      </c>
      <c r="W44" s="104">
        <v>8</v>
      </c>
      <c r="X44" s="104">
        <v>4</v>
      </c>
      <c r="Y44" s="104">
        <v>6</v>
      </c>
      <c r="Z44" s="104">
        <v>4</v>
      </c>
      <c r="AA44" s="104">
        <v>3</v>
      </c>
      <c r="AB44" s="104">
        <v>0</v>
      </c>
      <c r="AC44" s="226">
        <f t="shared" si="7"/>
        <v>32</v>
      </c>
      <c r="AD44" s="232">
        <f>AVERAGE(AC44:AC45)</f>
        <v>36.5</v>
      </c>
    </row>
    <row r="45" spans="2:33" x14ac:dyDescent="0.25">
      <c r="B45" s="103"/>
      <c r="C45" s="104"/>
      <c r="D45" s="132" t="s">
        <v>156</v>
      </c>
      <c r="E45" s="104">
        <v>10</v>
      </c>
      <c r="F45" s="104">
        <v>20</v>
      </c>
      <c r="G45" s="104">
        <v>8</v>
      </c>
      <c r="H45" s="104">
        <v>7</v>
      </c>
      <c r="I45" s="104">
        <v>10</v>
      </c>
      <c r="J45" s="104">
        <v>9</v>
      </c>
      <c r="K45" s="104">
        <v>15</v>
      </c>
      <c r="L45" s="104">
        <v>9</v>
      </c>
      <c r="M45" s="104">
        <v>7</v>
      </c>
      <c r="N45" s="217">
        <f>SUM(E45:M45)</f>
        <v>95</v>
      </c>
      <c r="O45" s="230"/>
      <c r="P45" s="110"/>
      <c r="Q45" s="131"/>
      <c r="R45" s="15"/>
      <c r="S45" s="132" t="s">
        <v>156</v>
      </c>
      <c r="T45" s="104">
        <v>2</v>
      </c>
      <c r="U45" s="104">
        <v>4</v>
      </c>
      <c r="V45" s="104">
        <v>12</v>
      </c>
      <c r="W45" s="104">
        <v>9</v>
      </c>
      <c r="X45" s="104">
        <v>2</v>
      </c>
      <c r="Y45" s="104">
        <v>3</v>
      </c>
      <c r="Z45" s="104">
        <v>3</v>
      </c>
      <c r="AA45" s="104">
        <v>4</v>
      </c>
      <c r="AB45" s="104">
        <v>2</v>
      </c>
      <c r="AC45" s="226">
        <f>SUM(T45:AB45)</f>
        <v>41</v>
      </c>
      <c r="AD45" s="232"/>
    </row>
    <row r="46" spans="2:33" x14ac:dyDescent="0.25">
      <c r="B46" s="103"/>
      <c r="C46" s="106" t="s">
        <v>56</v>
      </c>
      <c r="D46" s="106"/>
      <c r="E46" s="107"/>
      <c r="F46" s="107"/>
      <c r="G46" s="107"/>
      <c r="H46" s="107"/>
      <c r="I46" s="107"/>
      <c r="J46" s="107"/>
      <c r="K46" s="107"/>
      <c r="L46" s="107"/>
      <c r="M46" s="192"/>
      <c r="N46" s="192"/>
      <c r="O46" s="219">
        <f>AVERAGE(O38:O45)</f>
        <v>94.125</v>
      </c>
      <c r="P46" s="110"/>
      <c r="Q46" s="103"/>
      <c r="R46" s="16" t="s">
        <v>56</v>
      </c>
      <c r="S46" s="106"/>
      <c r="T46" s="107"/>
      <c r="U46" s="107"/>
      <c r="V46" s="107"/>
      <c r="W46" s="107"/>
      <c r="X46" s="107"/>
      <c r="Y46" s="107"/>
      <c r="Z46" s="107"/>
      <c r="AA46" s="107"/>
      <c r="AB46" s="192"/>
      <c r="AC46" s="216"/>
      <c r="AD46" s="148">
        <f>AVERAGE(AD38:AD45)</f>
        <v>40.125</v>
      </c>
    </row>
    <row r="47" spans="2:33" ht="15.75" thickBot="1" x14ac:dyDescent="0.3">
      <c r="B47" s="213"/>
      <c r="C47" s="109" t="s">
        <v>22</v>
      </c>
      <c r="D47" s="109"/>
      <c r="E47" s="214"/>
      <c r="F47" s="214"/>
      <c r="G47" s="214"/>
      <c r="H47" s="214"/>
      <c r="I47" s="214"/>
      <c r="J47" s="214"/>
      <c r="K47" s="214"/>
      <c r="L47" s="214"/>
      <c r="M47" s="290"/>
      <c r="N47" s="290"/>
      <c r="O47" s="221">
        <f>_xlfn.STDEV.S(O38:O45)</f>
        <v>12.499166638887036</v>
      </c>
      <c r="P47" s="171"/>
      <c r="Q47" s="213"/>
      <c r="R47" s="380" t="s">
        <v>22</v>
      </c>
      <c r="S47" s="109"/>
      <c r="T47" s="214"/>
      <c r="U47" s="214"/>
      <c r="V47" s="214"/>
      <c r="W47" s="214"/>
      <c r="X47" s="214"/>
      <c r="Y47" s="214"/>
      <c r="Z47" s="214"/>
      <c r="AA47" s="214"/>
      <c r="AB47" s="290"/>
      <c r="AC47" s="228"/>
      <c r="AD47" s="215">
        <f>_xlfn.STDEV.S(AD38:AD45)</f>
        <v>15.013188646431288</v>
      </c>
    </row>
    <row r="48" spans="2:33" x14ac:dyDescent="0.25">
      <c r="P48" s="171"/>
    </row>
    <row r="49" spans="2:18" x14ac:dyDescent="0.25">
      <c r="P49" s="171"/>
    </row>
    <row r="50" spans="2:18" x14ac:dyDescent="0.25">
      <c r="P50" s="171"/>
    </row>
    <row r="51" spans="2:18" x14ac:dyDescent="0.25">
      <c r="P51" s="110"/>
    </row>
    <row r="52" spans="2:18" x14ac:dyDescent="0.25">
      <c r="P52" s="171"/>
    </row>
    <row r="53" spans="2:18" x14ac:dyDescent="0.25">
      <c r="P53" s="171"/>
    </row>
    <row r="54" spans="2:18" x14ac:dyDescent="0.25">
      <c r="P54" s="171"/>
    </row>
    <row r="55" spans="2:18" x14ac:dyDescent="0.25">
      <c r="P55" s="171"/>
    </row>
    <row r="56" spans="2:18" x14ac:dyDescent="0.25">
      <c r="P56" s="171"/>
    </row>
    <row r="57" spans="2:18" x14ac:dyDescent="0.25">
      <c r="P57" s="171"/>
    </row>
    <row r="58" spans="2:18" x14ac:dyDescent="0.25">
      <c r="P58" s="171"/>
    </row>
    <row r="59" spans="2:18" x14ac:dyDescent="0.25">
      <c r="P59" s="171"/>
    </row>
    <row r="60" spans="2:18" x14ac:dyDescent="0.25">
      <c r="P60" s="171"/>
    </row>
    <row r="61" spans="2:18" x14ac:dyDescent="0.25">
      <c r="P61" s="183"/>
    </row>
    <row r="62" spans="2:18" x14ac:dyDescent="0.25">
      <c r="P62" s="183"/>
      <c r="Q62" s="183"/>
      <c r="R62" s="183"/>
    </row>
    <row r="63" spans="2:18" x14ac:dyDescent="0.25">
      <c r="B63" s="171"/>
      <c r="C63" s="171"/>
      <c r="D63" s="171"/>
      <c r="E63" s="171"/>
      <c r="F63" s="171"/>
      <c r="G63" s="171"/>
      <c r="H63" s="171"/>
      <c r="I63" s="171"/>
      <c r="J63" s="171"/>
      <c r="K63" s="171"/>
      <c r="L63" s="17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AI39"/>
  <sheetViews>
    <sheetView zoomScale="60" zoomScaleNormal="60" workbookViewId="0"/>
  </sheetViews>
  <sheetFormatPr defaultRowHeight="15" x14ac:dyDescent="0.25"/>
  <cols>
    <col min="1" max="1" width="4.42578125" style="32" customWidth="1"/>
    <col min="2" max="2" width="24.42578125" style="32" customWidth="1"/>
    <col min="3" max="3" width="14.85546875" style="32" customWidth="1"/>
    <col min="4" max="4" width="26.5703125" style="32" bestFit="1" customWidth="1"/>
    <col min="5" max="5" width="15" style="32" customWidth="1"/>
    <col min="6" max="6" width="15.5703125" style="32" customWidth="1"/>
    <col min="7" max="7" width="14.42578125" style="32" customWidth="1"/>
    <col min="8" max="8" width="27.42578125" style="32" customWidth="1"/>
    <col min="9" max="9" width="13.85546875" style="32" customWidth="1"/>
    <col min="10" max="10" width="13.5703125" style="32" customWidth="1"/>
    <col min="11" max="11" width="13.140625" style="32" customWidth="1"/>
    <col min="12" max="12" width="12.42578125" style="32" customWidth="1"/>
    <col min="13" max="15" width="9.140625" style="32"/>
    <col min="16" max="16" width="14.7109375" style="32" customWidth="1"/>
    <col min="17" max="18" width="12.28515625" style="32" customWidth="1"/>
    <col min="19" max="19" width="12.7109375" style="32" customWidth="1"/>
    <col min="20" max="21" width="12.28515625" style="32" customWidth="1"/>
    <col min="22" max="23" width="12.5703125" style="32" customWidth="1"/>
    <col min="24" max="34" width="9.140625" style="32"/>
    <col min="35" max="35" width="12" style="32" bestFit="1" customWidth="1"/>
    <col min="36" max="274" width="9.140625" style="32"/>
    <col min="275" max="275" width="12.140625" style="32" bestFit="1" customWidth="1"/>
    <col min="276" max="276" width="9.28515625" style="32" bestFit="1" customWidth="1"/>
    <col min="277" max="277" width="18.5703125" style="32" bestFit="1" customWidth="1"/>
    <col min="278" max="278" width="13.7109375" style="32" customWidth="1"/>
    <col min="279" max="530" width="9.140625" style="32"/>
    <col min="531" max="531" width="12.140625" style="32" bestFit="1" customWidth="1"/>
    <col min="532" max="532" width="9.28515625" style="32" bestFit="1" customWidth="1"/>
    <col min="533" max="533" width="18.5703125" style="32" bestFit="1" customWidth="1"/>
    <col min="534" max="534" width="13.7109375" style="32" customWidth="1"/>
    <col min="535" max="786" width="9.140625" style="32"/>
    <col min="787" max="787" width="12.140625" style="32" bestFit="1" customWidth="1"/>
    <col min="788" max="788" width="9.28515625" style="32" bestFit="1" customWidth="1"/>
    <col min="789" max="789" width="18.5703125" style="32" bestFit="1" customWidth="1"/>
    <col min="790" max="790" width="13.7109375" style="32" customWidth="1"/>
    <col min="791" max="1042" width="9.140625" style="32"/>
    <col min="1043" max="1043" width="12.140625" style="32" bestFit="1" customWidth="1"/>
    <col min="1044" max="1044" width="9.28515625" style="32" bestFit="1" customWidth="1"/>
    <col min="1045" max="1045" width="18.5703125" style="32" bestFit="1" customWidth="1"/>
    <col min="1046" max="1046" width="13.7109375" style="32" customWidth="1"/>
    <col min="1047" max="1298" width="9.140625" style="32"/>
    <col min="1299" max="1299" width="12.140625" style="32" bestFit="1" customWidth="1"/>
    <col min="1300" max="1300" width="9.28515625" style="32" bestFit="1" customWidth="1"/>
    <col min="1301" max="1301" width="18.5703125" style="32" bestFit="1" customWidth="1"/>
    <col min="1302" max="1302" width="13.7109375" style="32" customWidth="1"/>
    <col min="1303" max="1554" width="9.140625" style="32"/>
    <col min="1555" max="1555" width="12.140625" style="32" bestFit="1" customWidth="1"/>
    <col min="1556" max="1556" width="9.28515625" style="32" bestFit="1" customWidth="1"/>
    <col min="1557" max="1557" width="18.5703125" style="32" bestFit="1" customWidth="1"/>
    <col min="1558" max="1558" width="13.7109375" style="32" customWidth="1"/>
    <col min="1559" max="1810" width="9.140625" style="32"/>
    <col min="1811" max="1811" width="12.140625" style="32" bestFit="1" customWidth="1"/>
    <col min="1812" max="1812" width="9.28515625" style="32" bestFit="1" customWidth="1"/>
    <col min="1813" max="1813" width="18.5703125" style="32" bestFit="1" customWidth="1"/>
    <col min="1814" max="1814" width="13.7109375" style="32" customWidth="1"/>
    <col min="1815" max="2066" width="9.140625" style="32"/>
    <col min="2067" max="2067" width="12.140625" style="32" bestFit="1" customWidth="1"/>
    <col min="2068" max="2068" width="9.28515625" style="32" bestFit="1" customWidth="1"/>
    <col min="2069" max="2069" width="18.5703125" style="32" bestFit="1" customWidth="1"/>
    <col min="2070" max="2070" width="13.7109375" style="32" customWidth="1"/>
    <col min="2071" max="2322" width="9.140625" style="32"/>
    <col min="2323" max="2323" width="12.140625" style="32" bestFit="1" customWidth="1"/>
    <col min="2324" max="2324" width="9.28515625" style="32" bestFit="1" customWidth="1"/>
    <col min="2325" max="2325" width="18.5703125" style="32" bestFit="1" customWidth="1"/>
    <col min="2326" max="2326" width="13.7109375" style="32" customWidth="1"/>
    <col min="2327" max="2578" width="9.140625" style="32"/>
    <col min="2579" max="2579" width="12.140625" style="32" bestFit="1" customWidth="1"/>
    <col min="2580" max="2580" width="9.28515625" style="32" bestFit="1" customWidth="1"/>
    <col min="2581" max="2581" width="18.5703125" style="32" bestFit="1" customWidth="1"/>
    <col min="2582" max="2582" width="13.7109375" style="32" customWidth="1"/>
    <col min="2583" max="2834" width="9.140625" style="32"/>
    <col min="2835" max="2835" width="12.140625" style="32" bestFit="1" customWidth="1"/>
    <col min="2836" max="2836" width="9.28515625" style="32" bestFit="1" customWidth="1"/>
    <col min="2837" max="2837" width="18.5703125" style="32" bestFit="1" customWidth="1"/>
    <col min="2838" max="2838" width="13.7109375" style="32" customWidth="1"/>
    <col min="2839" max="3090" width="9.140625" style="32"/>
    <col min="3091" max="3091" width="12.140625" style="32" bestFit="1" customWidth="1"/>
    <col min="3092" max="3092" width="9.28515625" style="32" bestFit="1" customWidth="1"/>
    <col min="3093" max="3093" width="18.5703125" style="32" bestFit="1" customWidth="1"/>
    <col min="3094" max="3094" width="13.7109375" style="32" customWidth="1"/>
    <col min="3095" max="3346" width="9.140625" style="32"/>
    <col min="3347" max="3347" width="12.140625" style="32" bestFit="1" customWidth="1"/>
    <col min="3348" max="3348" width="9.28515625" style="32" bestFit="1" customWidth="1"/>
    <col min="3349" max="3349" width="18.5703125" style="32" bestFit="1" customWidth="1"/>
    <col min="3350" max="3350" width="13.7109375" style="32" customWidth="1"/>
    <col min="3351" max="3602" width="9.140625" style="32"/>
    <col min="3603" max="3603" width="12.140625" style="32" bestFit="1" customWidth="1"/>
    <col min="3604" max="3604" width="9.28515625" style="32" bestFit="1" customWidth="1"/>
    <col min="3605" max="3605" width="18.5703125" style="32" bestFit="1" customWidth="1"/>
    <col min="3606" max="3606" width="13.7109375" style="32" customWidth="1"/>
    <col min="3607" max="3858" width="9.140625" style="32"/>
    <col min="3859" max="3859" width="12.140625" style="32" bestFit="1" customWidth="1"/>
    <col min="3860" max="3860" width="9.28515625" style="32" bestFit="1" customWidth="1"/>
    <col min="3861" max="3861" width="18.5703125" style="32" bestFit="1" customWidth="1"/>
    <col min="3862" max="3862" width="13.7109375" style="32" customWidth="1"/>
    <col min="3863" max="4114" width="9.140625" style="32"/>
    <col min="4115" max="4115" width="12.140625" style="32" bestFit="1" customWidth="1"/>
    <col min="4116" max="4116" width="9.28515625" style="32" bestFit="1" customWidth="1"/>
    <col min="4117" max="4117" width="18.5703125" style="32" bestFit="1" customWidth="1"/>
    <col min="4118" max="4118" width="13.7109375" style="32" customWidth="1"/>
    <col min="4119" max="4370" width="9.140625" style="32"/>
    <col min="4371" max="4371" width="12.140625" style="32" bestFit="1" customWidth="1"/>
    <col min="4372" max="4372" width="9.28515625" style="32" bestFit="1" customWidth="1"/>
    <col min="4373" max="4373" width="18.5703125" style="32" bestFit="1" customWidth="1"/>
    <col min="4374" max="4374" width="13.7109375" style="32" customWidth="1"/>
    <col min="4375" max="4626" width="9.140625" style="32"/>
    <col min="4627" max="4627" width="12.140625" style="32" bestFit="1" customWidth="1"/>
    <col min="4628" max="4628" width="9.28515625" style="32" bestFit="1" customWidth="1"/>
    <col min="4629" max="4629" width="18.5703125" style="32" bestFit="1" customWidth="1"/>
    <col min="4630" max="4630" width="13.7109375" style="32" customWidth="1"/>
    <col min="4631" max="4882" width="9.140625" style="32"/>
    <col min="4883" max="4883" width="12.140625" style="32" bestFit="1" customWidth="1"/>
    <col min="4884" max="4884" width="9.28515625" style="32" bestFit="1" customWidth="1"/>
    <col min="4885" max="4885" width="18.5703125" style="32" bestFit="1" customWidth="1"/>
    <col min="4886" max="4886" width="13.7109375" style="32" customWidth="1"/>
    <col min="4887" max="5138" width="9.140625" style="32"/>
    <col min="5139" max="5139" width="12.140625" style="32" bestFit="1" customWidth="1"/>
    <col min="5140" max="5140" width="9.28515625" style="32" bestFit="1" customWidth="1"/>
    <col min="5141" max="5141" width="18.5703125" style="32" bestFit="1" customWidth="1"/>
    <col min="5142" max="5142" width="13.7109375" style="32" customWidth="1"/>
    <col min="5143" max="5394" width="9.140625" style="32"/>
    <col min="5395" max="5395" width="12.140625" style="32" bestFit="1" customWidth="1"/>
    <col min="5396" max="5396" width="9.28515625" style="32" bestFit="1" customWidth="1"/>
    <col min="5397" max="5397" width="18.5703125" style="32" bestFit="1" customWidth="1"/>
    <col min="5398" max="5398" width="13.7109375" style="32" customWidth="1"/>
    <col min="5399" max="5650" width="9.140625" style="32"/>
    <col min="5651" max="5651" width="12.140625" style="32" bestFit="1" customWidth="1"/>
    <col min="5652" max="5652" width="9.28515625" style="32" bestFit="1" customWidth="1"/>
    <col min="5653" max="5653" width="18.5703125" style="32" bestFit="1" customWidth="1"/>
    <col min="5654" max="5654" width="13.7109375" style="32" customWidth="1"/>
    <col min="5655" max="5906" width="9.140625" style="32"/>
    <col min="5907" max="5907" width="12.140625" style="32" bestFit="1" customWidth="1"/>
    <col min="5908" max="5908" width="9.28515625" style="32" bestFit="1" customWidth="1"/>
    <col min="5909" max="5909" width="18.5703125" style="32" bestFit="1" customWidth="1"/>
    <col min="5910" max="5910" width="13.7109375" style="32" customWidth="1"/>
    <col min="5911" max="6162" width="9.140625" style="32"/>
    <col min="6163" max="6163" width="12.140625" style="32" bestFit="1" customWidth="1"/>
    <col min="6164" max="6164" width="9.28515625" style="32" bestFit="1" customWidth="1"/>
    <col min="6165" max="6165" width="18.5703125" style="32" bestFit="1" customWidth="1"/>
    <col min="6166" max="6166" width="13.7109375" style="32" customWidth="1"/>
    <col min="6167" max="6418" width="9.140625" style="32"/>
    <col min="6419" max="6419" width="12.140625" style="32" bestFit="1" customWidth="1"/>
    <col min="6420" max="6420" width="9.28515625" style="32" bestFit="1" customWidth="1"/>
    <col min="6421" max="6421" width="18.5703125" style="32" bestFit="1" customWidth="1"/>
    <col min="6422" max="6422" width="13.7109375" style="32" customWidth="1"/>
    <col min="6423" max="6674" width="9.140625" style="32"/>
    <col min="6675" max="6675" width="12.140625" style="32" bestFit="1" customWidth="1"/>
    <col min="6676" max="6676" width="9.28515625" style="32" bestFit="1" customWidth="1"/>
    <col min="6677" max="6677" width="18.5703125" style="32" bestFit="1" customWidth="1"/>
    <col min="6678" max="6678" width="13.7109375" style="32" customWidth="1"/>
    <col min="6679" max="6930" width="9.140625" style="32"/>
    <col min="6931" max="6931" width="12.140625" style="32" bestFit="1" customWidth="1"/>
    <col min="6932" max="6932" width="9.28515625" style="32" bestFit="1" customWidth="1"/>
    <col min="6933" max="6933" width="18.5703125" style="32" bestFit="1" customWidth="1"/>
    <col min="6934" max="6934" width="13.7109375" style="32" customWidth="1"/>
    <col min="6935" max="7186" width="9.140625" style="32"/>
    <col min="7187" max="7187" width="12.140625" style="32" bestFit="1" customWidth="1"/>
    <col min="7188" max="7188" width="9.28515625" style="32" bestFit="1" customWidth="1"/>
    <col min="7189" max="7189" width="18.5703125" style="32" bestFit="1" customWidth="1"/>
    <col min="7190" max="7190" width="13.7109375" style="32" customWidth="1"/>
    <col min="7191" max="7442" width="9.140625" style="32"/>
    <col min="7443" max="7443" width="12.140625" style="32" bestFit="1" customWidth="1"/>
    <col min="7444" max="7444" width="9.28515625" style="32" bestFit="1" customWidth="1"/>
    <col min="7445" max="7445" width="18.5703125" style="32" bestFit="1" customWidth="1"/>
    <col min="7446" max="7446" width="13.7109375" style="32" customWidth="1"/>
    <col min="7447" max="7698" width="9.140625" style="32"/>
    <col min="7699" max="7699" width="12.140625" style="32" bestFit="1" customWidth="1"/>
    <col min="7700" max="7700" width="9.28515625" style="32" bestFit="1" customWidth="1"/>
    <col min="7701" max="7701" width="18.5703125" style="32" bestFit="1" customWidth="1"/>
    <col min="7702" max="7702" width="13.7109375" style="32" customWidth="1"/>
    <col min="7703" max="7954" width="9.140625" style="32"/>
    <col min="7955" max="7955" width="12.140625" style="32" bestFit="1" customWidth="1"/>
    <col min="7956" max="7956" width="9.28515625" style="32" bestFit="1" customWidth="1"/>
    <col min="7957" max="7957" width="18.5703125" style="32" bestFit="1" customWidth="1"/>
    <col min="7958" max="7958" width="13.7109375" style="32" customWidth="1"/>
    <col min="7959" max="8210" width="9.140625" style="32"/>
    <col min="8211" max="8211" width="12.140625" style="32" bestFit="1" customWidth="1"/>
    <col min="8212" max="8212" width="9.28515625" style="32" bestFit="1" customWidth="1"/>
    <col min="8213" max="8213" width="18.5703125" style="32" bestFit="1" customWidth="1"/>
    <col min="8214" max="8214" width="13.7109375" style="32" customWidth="1"/>
    <col min="8215" max="8466" width="9.140625" style="32"/>
    <col min="8467" max="8467" width="12.140625" style="32" bestFit="1" customWidth="1"/>
    <col min="8468" max="8468" width="9.28515625" style="32" bestFit="1" customWidth="1"/>
    <col min="8469" max="8469" width="18.5703125" style="32" bestFit="1" customWidth="1"/>
    <col min="8470" max="8470" width="13.7109375" style="32" customWidth="1"/>
    <col min="8471" max="8722" width="9.140625" style="32"/>
    <col min="8723" max="8723" width="12.140625" style="32" bestFit="1" customWidth="1"/>
    <col min="8724" max="8724" width="9.28515625" style="32" bestFit="1" customWidth="1"/>
    <col min="8725" max="8725" width="18.5703125" style="32" bestFit="1" customWidth="1"/>
    <col min="8726" max="8726" width="13.7109375" style="32" customWidth="1"/>
    <col min="8727" max="8978" width="9.140625" style="32"/>
    <col min="8979" max="8979" width="12.140625" style="32" bestFit="1" customWidth="1"/>
    <col min="8980" max="8980" width="9.28515625" style="32" bestFit="1" customWidth="1"/>
    <col min="8981" max="8981" width="18.5703125" style="32" bestFit="1" customWidth="1"/>
    <col min="8982" max="8982" width="13.7109375" style="32" customWidth="1"/>
    <col min="8983" max="9234" width="9.140625" style="32"/>
    <col min="9235" max="9235" width="12.140625" style="32" bestFit="1" customWidth="1"/>
    <col min="9236" max="9236" width="9.28515625" style="32" bestFit="1" customWidth="1"/>
    <col min="9237" max="9237" width="18.5703125" style="32" bestFit="1" customWidth="1"/>
    <col min="9238" max="9238" width="13.7109375" style="32" customWidth="1"/>
    <col min="9239" max="9490" width="9.140625" style="32"/>
    <col min="9491" max="9491" width="12.140625" style="32" bestFit="1" customWidth="1"/>
    <col min="9492" max="9492" width="9.28515625" style="32" bestFit="1" customWidth="1"/>
    <col min="9493" max="9493" width="18.5703125" style="32" bestFit="1" customWidth="1"/>
    <col min="9494" max="9494" width="13.7109375" style="32" customWidth="1"/>
    <col min="9495" max="9746" width="9.140625" style="32"/>
    <col min="9747" max="9747" width="12.140625" style="32" bestFit="1" customWidth="1"/>
    <col min="9748" max="9748" width="9.28515625" style="32" bestFit="1" customWidth="1"/>
    <col min="9749" max="9749" width="18.5703125" style="32" bestFit="1" customWidth="1"/>
    <col min="9750" max="9750" width="13.7109375" style="32" customWidth="1"/>
    <col min="9751" max="10002" width="9.140625" style="32"/>
    <col min="10003" max="10003" width="12.140625" style="32" bestFit="1" customWidth="1"/>
    <col min="10004" max="10004" width="9.28515625" style="32" bestFit="1" customWidth="1"/>
    <col min="10005" max="10005" width="18.5703125" style="32" bestFit="1" customWidth="1"/>
    <col min="10006" max="10006" width="13.7109375" style="32" customWidth="1"/>
    <col min="10007" max="10258" width="9.140625" style="32"/>
    <col min="10259" max="10259" width="12.140625" style="32" bestFit="1" customWidth="1"/>
    <col min="10260" max="10260" width="9.28515625" style="32" bestFit="1" customWidth="1"/>
    <col min="10261" max="10261" width="18.5703125" style="32" bestFit="1" customWidth="1"/>
    <col min="10262" max="10262" width="13.7109375" style="32" customWidth="1"/>
    <col min="10263" max="10514" width="9.140625" style="32"/>
    <col min="10515" max="10515" width="12.140625" style="32" bestFit="1" customWidth="1"/>
    <col min="10516" max="10516" width="9.28515625" style="32" bestFit="1" customWidth="1"/>
    <col min="10517" max="10517" width="18.5703125" style="32" bestFit="1" customWidth="1"/>
    <col min="10518" max="10518" width="13.7109375" style="32" customWidth="1"/>
    <col min="10519" max="10770" width="9.140625" style="32"/>
    <col min="10771" max="10771" width="12.140625" style="32" bestFit="1" customWidth="1"/>
    <col min="10772" max="10772" width="9.28515625" style="32" bestFit="1" customWidth="1"/>
    <col min="10773" max="10773" width="18.5703125" style="32" bestFit="1" customWidth="1"/>
    <col min="10774" max="10774" width="13.7109375" style="32" customWidth="1"/>
    <col min="10775" max="11026" width="9.140625" style="32"/>
    <col min="11027" max="11027" width="12.140625" style="32" bestFit="1" customWidth="1"/>
    <col min="11028" max="11028" width="9.28515625" style="32" bestFit="1" customWidth="1"/>
    <col min="11029" max="11029" width="18.5703125" style="32" bestFit="1" customWidth="1"/>
    <col min="11030" max="11030" width="13.7109375" style="32" customWidth="1"/>
    <col min="11031" max="11282" width="9.140625" style="32"/>
    <col min="11283" max="11283" width="12.140625" style="32" bestFit="1" customWidth="1"/>
    <col min="11284" max="11284" width="9.28515625" style="32" bestFit="1" customWidth="1"/>
    <col min="11285" max="11285" width="18.5703125" style="32" bestFit="1" customWidth="1"/>
    <col min="11286" max="11286" width="13.7109375" style="32" customWidth="1"/>
    <col min="11287" max="11538" width="9.140625" style="32"/>
    <col min="11539" max="11539" width="12.140625" style="32" bestFit="1" customWidth="1"/>
    <col min="11540" max="11540" width="9.28515625" style="32" bestFit="1" customWidth="1"/>
    <col min="11541" max="11541" width="18.5703125" style="32" bestFit="1" customWidth="1"/>
    <col min="11542" max="11542" width="13.7109375" style="32" customWidth="1"/>
    <col min="11543" max="11794" width="9.140625" style="32"/>
    <col min="11795" max="11795" width="12.140625" style="32" bestFit="1" customWidth="1"/>
    <col min="11796" max="11796" width="9.28515625" style="32" bestFit="1" customWidth="1"/>
    <col min="11797" max="11797" width="18.5703125" style="32" bestFit="1" customWidth="1"/>
    <col min="11798" max="11798" width="13.7109375" style="32" customWidth="1"/>
    <col min="11799" max="12050" width="9.140625" style="32"/>
    <col min="12051" max="12051" width="12.140625" style="32" bestFit="1" customWidth="1"/>
    <col min="12052" max="12052" width="9.28515625" style="32" bestFit="1" customWidth="1"/>
    <col min="12053" max="12053" width="18.5703125" style="32" bestFit="1" customWidth="1"/>
    <col min="12054" max="12054" width="13.7109375" style="32" customWidth="1"/>
    <col min="12055" max="12306" width="9.140625" style="32"/>
    <col min="12307" max="12307" width="12.140625" style="32" bestFit="1" customWidth="1"/>
    <col min="12308" max="12308" width="9.28515625" style="32" bestFit="1" customWidth="1"/>
    <col min="12309" max="12309" width="18.5703125" style="32" bestFit="1" customWidth="1"/>
    <col min="12310" max="12310" width="13.7109375" style="32" customWidth="1"/>
    <col min="12311" max="12562" width="9.140625" style="32"/>
    <col min="12563" max="12563" width="12.140625" style="32" bestFit="1" customWidth="1"/>
    <col min="12564" max="12564" width="9.28515625" style="32" bestFit="1" customWidth="1"/>
    <col min="12565" max="12565" width="18.5703125" style="32" bestFit="1" customWidth="1"/>
    <col min="12566" max="12566" width="13.7109375" style="32" customWidth="1"/>
    <col min="12567" max="12818" width="9.140625" style="32"/>
    <col min="12819" max="12819" width="12.140625" style="32" bestFit="1" customWidth="1"/>
    <col min="12820" max="12820" width="9.28515625" style="32" bestFit="1" customWidth="1"/>
    <col min="12821" max="12821" width="18.5703125" style="32" bestFit="1" customWidth="1"/>
    <col min="12822" max="12822" width="13.7109375" style="32" customWidth="1"/>
    <col min="12823" max="13074" width="9.140625" style="32"/>
    <col min="13075" max="13075" width="12.140625" style="32" bestFit="1" customWidth="1"/>
    <col min="13076" max="13076" width="9.28515625" style="32" bestFit="1" customWidth="1"/>
    <col min="13077" max="13077" width="18.5703125" style="32" bestFit="1" customWidth="1"/>
    <col min="13078" max="13078" width="13.7109375" style="32" customWidth="1"/>
    <col min="13079" max="13330" width="9.140625" style="32"/>
    <col min="13331" max="13331" width="12.140625" style="32" bestFit="1" customWidth="1"/>
    <col min="13332" max="13332" width="9.28515625" style="32" bestFit="1" customWidth="1"/>
    <col min="13333" max="13333" width="18.5703125" style="32" bestFit="1" customWidth="1"/>
    <col min="13334" max="13334" width="13.7109375" style="32" customWidth="1"/>
    <col min="13335" max="13586" width="9.140625" style="32"/>
    <col min="13587" max="13587" width="12.140625" style="32" bestFit="1" customWidth="1"/>
    <col min="13588" max="13588" width="9.28515625" style="32" bestFit="1" customWidth="1"/>
    <col min="13589" max="13589" width="18.5703125" style="32" bestFit="1" customWidth="1"/>
    <col min="13590" max="13590" width="13.7109375" style="32" customWidth="1"/>
    <col min="13591" max="13842" width="9.140625" style="32"/>
    <col min="13843" max="13843" width="12.140625" style="32" bestFit="1" customWidth="1"/>
    <col min="13844" max="13844" width="9.28515625" style="32" bestFit="1" customWidth="1"/>
    <col min="13845" max="13845" width="18.5703125" style="32" bestFit="1" customWidth="1"/>
    <col min="13846" max="13846" width="13.7109375" style="32" customWidth="1"/>
    <col min="13847" max="14098" width="9.140625" style="32"/>
    <col min="14099" max="14099" width="12.140625" style="32" bestFit="1" customWidth="1"/>
    <col min="14100" max="14100" width="9.28515625" style="32" bestFit="1" customWidth="1"/>
    <col min="14101" max="14101" width="18.5703125" style="32" bestFit="1" customWidth="1"/>
    <col min="14102" max="14102" width="13.7109375" style="32" customWidth="1"/>
    <col min="14103" max="14354" width="9.140625" style="32"/>
    <col min="14355" max="14355" width="12.140625" style="32" bestFit="1" customWidth="1"/>
    <col min="14356" max="14356" width="9.28515625" style="32" bestFit="1" customWidth="1"/>
    <col min="14357" max="14357" width="18.5703125" style="32" bestFit="1" customWidth="1"/>
    <col min="14358" max="14358" width="13.7109375" style="32" customWidth="1"/>
    <col min="14359" max="14610" width="9.140625" style="32"/>
    <col min="14611" max="14611" width="12.140625" style="32" bestFit="1" customWidth="1"/>
    <col min="14612" max="14612" width="9.28515625" style="32" bestFit="1" customWidth="1"/>
    <col min="14613" max="14613" width="18.5703125" style="32" bestFit="1" customWidth="1"/>
    <col min="14614" max="14614" width="13.7109375" style="32" customWidth="1"/>
    <col min="14615" max="14866" width="9.140625" style="32"/>
    <col min="14867" max="14867" width="12.140625" style="32" bestFit="1" customWidth="1"/>
    <col min="14868" max="14868" width="9.28515625" style="32" bestFit="1" customWidth="1"/>
    <col min="14869" max="14869" width="18.5703125" style="32" bestFit="1" customWidth="1"/>
    <col min="14870" max="14870" width="13.7109375" style="32" customWidth="1"/>
    <col min="14871" max="15122" width="9.140625" style="32"/>
    <col min="15123" max="15123" width="12.140625" style="32" bestFit="1" customWidth="1"/>
    <col min="15124" max="15124" width="9.28515625" style="32" bestFit="1" customWidth="1"/>
    <col min="15125" max="15125" width="18.5703125" style="32" bestFit="1" customWidth="1"/>
    <col min="15126" max="15126" width="13.7109375" style="32" customWidth="1"/>
    <col min="15127" max="15378" width="9.140625" style="32"/>
    <col min="15379" max="15379" width="12.140625" style="32" bestFit="1" customWidth="1"/>
    <col min="15380" max="15380" width="9.28515625" style="32" bestFit="1" customWidth="1"/>
    <col min="15381" max="15381" width="18.5703125" style="32" bestFit="1" customWidth="1"/>
    <col min="15382" max="15382" width="13.7109375" style="32" customWidth="1"/>
    <col min="15383" max="15634" width="9.140625" style="32"/>
    <col min="15635" max="15635" width="12.140625" style="32" bestFit="1" customWidth="1"/>
    <col min="15636" max="15636" width="9.28515625" style="32" bestFit="1" customWidth="1"/>
    <col min="15637" max="15637" width="18.5703125" style="32" bestFit="1" customWidth="1"/>
    <col min="15638" max="15638" width="13.7109375" style="32" customWidth="1"/>
    <col min="15639" max="15890" width="9.140625" style="32"/>
    <col min="15891" max="15891" width="12.140625" style="32" bestFit="1" customWidth="1"/>
    <col min="15892" max="15892" width="9.28515625" style="32" bestFit="1" customWidth="1"/>
    <col min="15893" max="15893" width="18.5703125" style="32" bestFit="1" customWidth="1"/>
    <col min="15894" max="15894" width="13.7109375" style="32" customWidth="1"/>
    <col min="15895" max="16146" width="9.140625" style="32"/>
    <col min="16147" max="16147" width="12.140625" style="32" bestFit="1" customWidth="1"/>
    <col min="16148" max="16148" width="9.28515625" style="32" bestFit="1" customWidth="1"/>
    <col min="16149" max="16149" width="18.5703125" style="32" bestFit="1" customWidth="1"/>
    <col min="16150" max="16150" width="13.7109375" style="32" customWidth="1"/>
    <col min="16151" max="16384" width="9.140625" style="32"/>
  </cols>
  <sheetData>
    <row r="2" spans="2:35" x14ac:dyDescent="0.25">
      <c r="B2" s="129" t="s">
        <v>160</v>
      </c>
      <c r="C2" s="129"/>
      <c r="D2" s="129"/>
      <c r="E2" s="129"/>
      <c r="F2" s="129"/>
      <c r="G2" s="129"/>
    </row>
    <row r="3" spans="2:35" ht="15.75" thickBot="1" x14ac:dyDescent="0.3">
      <c r="B3" s="2" t="s">
        <v>50</v>
      </c>
      <c r="C3" s="33"/>
      <c r="D3" s="462"/>
      <c r="E3" s="462"/>
      <c r="F3" s="33"/>
      <c r="G3" s="21"/>
      <c r="H3" s="381"/>
      <c r="I3" s="33"/>
      <c r="J3" s="33"/>
      <c r="K3" s="170"/>
      <c r="O3" s="463"/>
      <c r="P3" s="463"/>
      <c r="R3" s="195"/>
      <c r="S3" s="193"/>
      <c r="T3" s="182"/>
      <c r="U3" s="182"/>
      <c r="V3" s="171"/>
      <c r="AA3" s="191"/>
    </row>
    <row r="4" spans="2:35" x14ac:dyDescent="0.25">
      <c r="B4" s="382"/>
      <c r="C4" s="383"/>
      <c r="D4" s="384" t="s">
        <v>161</v>
      </c>
      <c r="E4" s="383"/>
      <c r="F4" s="383"/>
      <c r="G4" s="385"/>
      <c r="H4" s="386" t="s">
        <v>162</v>
      </c>
      <c r="I4" s="383"/>
      <c r="J4" s="223"/>
      <c r="K4" s="387"/>
    </row>
    <row r="5" spans="2:35" ht="45" x14ac:dyDescent="0.25">
      <c r="B5" s="375" t="s">
        <v>4</v>
      </c>
      <c r="C5" s="376" t="s">
        <v>262</v>
      </c>
      <c r="D5" s="376" t="s">
        <v>248</v>
      </c>
      <c r="E5" s="376" t="s">
        <v>163</v>
      </c>
      <c r="F5" s="376" t="s">
        <v>164</v>
      </c>
      <c r="G5" s="377" t="s">
        <v>165</v>
      </c>
      <c r="H5" s="376" t="s">
        <v>249</v>
      </c>
      <c r="I5" s="376" t="s">
        <v>163</v>
      </c>
      <c r="J5" s="376" t="s">
        <v>164</v>
      </c>
      <c r="K5" s="378" t="s">
        <v>165</v>
      </c>
    </row>
    <row r="6" spans="2:35" x14ac:dyDescent="0.25">
      <c r="B6" s="388"/>
      <c r="C6" s="118" t="s">
        <v>5</v>
      </c>
      <c r="D6" s="118">
        <v>80369</v>
      </c>
      <c r="E6" s="118">
        <v>16896</v>
      </c>
      <c r="F6" s="118">
        <v>0</v>
      </c>
      <c r="G6" s="263">
        <v>0</v>
      </c>
      <c r="H6" s="291">
        <f>D6/D6*100</f>
        <v>100</v>
      </c>
      <c r="I6" s="118">
        <f>E6/D6*100</f>
        <v>21.02303126827508</v>
      </c>
      <c r="J6" s="118">
        <f>F6/D6*100</f>
        <v>0</v>
      </c>
      <c r="K6" s="288">
        <f>G6/D6*100</f>
        <v>0</v>
      </c>
      <c r="M6" s="292"/>
      <c r="N6" s="292"/>
    </row>
    <row r="7" spans="2:35" x14ac:dyDescent="0.25">
      <c r="B7" s="262"/>
      <c r="C7" s="117" t="s">
        <v>6</v>
      </c>
      <c r="D7" s="117">
        <v>62263</v>
      </c>
      <c r="E7" s="117">
        <v>14358</v>
      </c>
      <c r="F7" s="117">
        <v>0</v>
      </c>
      <c r="G7" s="205">
        <v>0</v>
      </c>
      <c r="H7" s="293">
        <f t="shared" ref="H7:H13" si="0">D7/D7*100</f>
        <v>100</v>
      </c>
      <c r="I7" s="117">
        <f t="shared" ref="I7:I13" si="1">E7/D7*100</f>
        <v>23.060244446942807</v>
      </c>
      <c r="J7" s="117">
        <f t="shared" ref="J7:J13" si="2">F7/D7*100</f>
        <v>0</v>
      </c>
      <c r="K7" s="286">
        <f t="shared" ref="K7:K13" si="3">G7/D7*100</f>
        <v>0</v>
      </c>
      <c r="M7" s="292"/>
      <c r="N7" s="292"/>
    </row>
    <row r="8" spans="2:35" x14ac:dyDescent="0.25">
      <c r="B8" s="262"/>
      <c r="C8" s="117" t="s">
        <v>7</v>
      </c>
      <c r="D8" s="117">
        <v>60621</v>
      </c>
      <c r="E8" s="117">
        <v>21328</v>
      </c>
      <c r="F8" s="117">
        <v>0</v>
      </c>
      <c r="G8" s="205">
        <v>0</v>
      </c>
      <c r="H8" s="293">
        <f t="shared" si="0"/>
        <v>100</v>
      </c>
      <c r="I8" s="117">
        <f t="shared" si="1"/>
        <v>35.182527506969528</v>
      </c>
      <c r="J8" s="117">
        <f t="shared" si="2"/>
        <v>0</v>
      </c>
      <c r="K8" s="286">
        <f t="shared" si="3"/>
        <v>0</v>
      </c>
      <c r="M8" s="292"/>
      <c r="N8" s="292"/>
    </row>
    <row r="9" spans="2:35" x14ac:dyDescent="0.25">
      <c r="B9" s="262"/>
      <c r="C9" s="117" t="s">
        <v>8</v>
      </c>
      <c r="D9" s="117">
        <v>60621</v>
      </c>
      <c r="E9" s="117">
        <v>10967</v>
      </c>
      <c r="F9" s="117">
        <v>0</v>
      </c>
      <c r="G9" s="205">
        <v>0</v>
      </c>
      <c r="H9" s="293">
        <f t="shared" si="0"/>
        <v>100</v>
      </c>
      <c r="I9" s="117">
        <f t="shared" si="1"/>
        <v>18.091090546180368</v>
      </c>
      <c r="J9" s="117">
        <f t="shared" si="2"/>
        <v>0</v>
      </c>
      <c r="K9" s="286">
        <f t="shared" si="3"/>
        <v>0</v>
      </c>
      <c r="M9" s="292"/>
      <c r="N9" s="292"/>
    </row>
    <row r="10" spans="2:35" x14ac:dyDescent="0.25">
      <c r="B10" s="262"/>
      <c r="C10" s="117" t="s">
        <v>14</v>
      </c>
      <c r="D10" s="117">
        <v>76554</v>
      </c>
      <c r="E10" s="117">
        <v>16896</v>
      </c>
      <c r="F10" s="117">
        <v>0</v>
      </c>
      <c r="G10" s="205">
        <v>0</v>
      </c>
      <c r="H10" s="293">
        <f t="shared" si="0"/>
        <v>100</v>
      </c>
      <c r="I10" s="117">
        <f t="shared" si="1"/>
        <v>22.07069519554824</v>
      </c>
      <c r="J10" s="117">
        <f t="shared" si="2"/>
        <v>0</v>
      </c>
      <c r="K10" s="286">
        <f t="shared" si="3"/>
        <v>0</v>
      </c>
      <c r="M10" s="292"/>
      <c r="N10" s="292"/>
    </row>
    <row r="11" spans="2:35" x14ac:dyDescent="0.25">
      <c r="B11" s="262"/>
      <c r="C11" s="117" t="s">
        <v>15</v>
      </c>
      <c r="D11" s="117">
        <v>65665</v>
      </c>
      <c r="E11" s="117">
        <v>14358</v>
      </c>
      <c r="F11" s="117">
        <v>0</v>
      </c>
      <c r="G11" s="205">
        <v>0</v>
      </c>
      <c r="H11" s="293">
        <f t="shared" si="0"/>
        <v>100</v>
      </c>
      <c r="I11" s="117">
        <f t="shared" si="1"/>
        <v>21.865529581969085</v>
      </c>
      <c r="J11" s="117">
        <f t="shared" si="2"/>
        <v>0</v>
      </c>
      <c r="K11" s="286">
        <f t="shared" si="3"/>
        <v>0</v>
      </c>
      <c r="M11" s="292"/>
      <c r="N11" s="292"/>
    </row>
    <row r="12" spans="2:35" x14ac:dyDescent="0.25">
      <c r="B12" s="262"/>
      <c r="C12" s="117" t="s">
        <v>166</v>
      </c>
      <c r="D12" s="117">
        <v>69877</v>
      </c>
      <c r="E12" s="117">
        <v>21328</v>
      </c>
      <c r="F12" s="117">
        <v>0</v>
      </c>
      <c r="G12" s="205">
        <v>0</v>
      </c>
      <c r="H12" s="293">
        <f t="shared" si="0"/>
        <v>100</v>
      </c>
      <c r="I12" s="117">
        <f t="shared" si="1"/>
        <v>30.522203300084431</v>
      </c>
      <c r="J12" s="117">
        <f t="shared" si="2"/>
        <v>0</v>
      </c>
      <c r="K12" s="286">
        <f t="shared" si="3"/>
        <v>0</v>
      </c>
      <c r="M12" s="292"/>
      <c r="N12" s="292"/>
    </row>
    <row r="13" spans="2:35" x14ac:dyDescent="0.25">
      <c r="B13" s="262"/>
      <c r="C13" s="117" t="s">
        <v>21</v>
      </c>
      <c r="D13" s="117">
        <v>76231</v>
      </c>
      <c r="E13" s="117">
        <v>10967</v>
      </c>
      <c r="F13" s="117">
        <v>0</v>
      </c>
      <c r="G13" s="205">
        <v>0</v>
      </c>
      <c r="H13" s="293">
        <f t="shared" si="0"/>
        <v>100</v>
      </c>
      <c r="I13" s="117">
        <f t="shared" si="1"/>
        <v>14.386535661345123</v>
      </c>
      <c r="J13" s="117">
        <f t="shared" si="2"/>
        <v>0</v>
      </c>
      <c r="K13" s="286">
        <f t="shared" si="3"/>
        <v>0</v>
      </c>
      <c r="M13" s="292"/>
      <c r="N13" s="292"/>
      <c r="AG13" s="195"/>
      <c r="AH13" s="195"/>
      <c r="AI13" s="195"/>
    </row>
    <row r="14" spans="2:35" x14ac:dyDescent="0.25">
      <c r="B14" s="262"/>
      <c r="C14" s="117"/>
      <c r="D14" s="117"/>
      <c r="E14" s="117"/>
      <c r="F14" s="117"/>
      <c r="G14" s="205"/>
      <c r="H14" s="293"/>
      <c r="I14" s="117"/>
      <c r="J14" s="117"/>
      <c r="K14" s="286"/>
      <c r="M14" s="292"/>
      <c r="N14" s="292"/>
      <c r="AG14" s="195"/>
      <c r="AH14" s="195"/>
      <c r="AI14" s="195"/>
    </row>
    <row r="15" spans="2:35" x14ac:dyDescent="0.25">
      <c r="B15" s="262"/>
      <c r="C15" s="55" t="s">
        <v>56</v>
      </c>
      <c r="D15" s="239">
        <f>AVERAGE(D6:D13)</f>
        <v>69025.125</v>
      </c>
      <c r="E15" s="239">
        <f t="shared" ref="E15:G15" si="4">AVERAGE(E6:E13)</f>
        <v>15887.25</v>
      </c>
      <c r="F15" s="239">
        <f t="shared" si="4"/>
        <v>0</v>
      </c>
      <c r="G15" s="163">
        <f t="shared" si="4"/>
        <v>0</v>
      </c>
      <c r="H15" s="128">
        <f>AVERAGE(H6:H13)</f>
        <v>100</v>
      </c>
      <c r="I15" s="140">
        <f>AVERAGE(I6:I13)</f>
        <v>23.275232188414336</v>
      </c>
      <c r="J15" s="55">
        <f>AVERAGE(J6:J13)</f>
        <v>0</v>
      </c>
      <c r="K15" s="141">
        <f>AVERAGE(K6:K13)</f>
        <v>0</v>
      </c>
      <c r="M15" s="119"/>
      <c r="N15" s="119"/>
      <c r="AG15" s="195"/>
      <c r="AH15" s="195"/>
      <c r="AI15" s="195"/>
    </row>
    <row r="16" spans="2:35" x14ac:dyDescent="0.25">
      <c r="B16" s="262"/>
      <c r="C16" s="16" t="s">
        <v>22</v>
      </c>
      <c r="D16" s="117">
        <f t="shared" ref="D16:K16" si="5">_xlfn.STDEV.S(D6:D13)</f>
        <v>7894.7830231199423</v>
      </c>
      <c r="E16" s="117">
        <f t="shared" si="5"/>
        <v>4041.4566945948727</v>
      </c>
      <c r="F16" s="117">
        <f t="shared" si="5"/>
        <v>0</v>
      </c>
      <c r="G16" s="205">
        <f t="shared" si="5"/>
        <v>0</v>
      </c>
      <c r="H16" s="128">
        <f t="shared" si="5"/>
        <v>0</v>
      </c>
      <c r="I16" s="55">
        <f t="shared" si="5"/>
        <v>6.6412490448839412</v>
      </c>
      <c r="J16" s="55">
        <f t="shared" si="5"/>
        <v>0</v>
      </c>
      <c r="K16" s="141">
        <f t="shared" si="5"/>
        <v>0</v>
      </c>
      <c r="M16" s="119"/>
      <c r="N16" s="119"/>
    </row>
    <row r="17" spans="2:14" x14ac:dyDescent="0.25">
      <c r="B17" s="389"/>
      <c r="C17" s="390"/>
      <c r="D17" s="391" t="s">
        <v>161</v>
      </c>
      <c r="E17" s="390"/>
      <c r="F17" s="390"/>
      <c r="G17" s="392"/>
      <c r="H17" s="393" t="s">
        <v>162</v>
      </c>
      <c r="I17" s="390"/>
      <c r="J17" s="47"/>
      <c r="K17" s="394"/>
    </row>
    <row r="18" spans="2:14" ht="45" x14ac:dyDescent="0.25">
      <c r="B18" s="379" t="s">
        <v>10</v>
      </c>
      <c r="C18" s="376" t="s">
        <v>262</v>
      </c>
      <c r="D18" s="376" t="s">
        <v>248</v>
      </c>
      <c r="E18" s="376" t="s">
        <v>163</v>
      </c>
      <c r="F18" s="376" t="s">
        <v>164</v>
      </c>
      <c r="G18" s="377" t="s">
        <v>165</v>
      </c>
      <c r="H18" s="376" t="s">
        <v>249</v>
      </c>
      <c r="I18" s="376" t="s">
        <v>163</v>
      </c>
      <c r="J18" s="376" t="s">
        <v>164</v>
      </c>
      <c r="K18" s="378" t="s">
        <v>165</v>
      </c>
      <c r="L18" s="244"/>
    </row>
    <row r="19" spans="2:14" x14ac:dyDescent="0.25">
      <c r="B19" s="262"/>
      <c r="C19" s="117" t="s">
        <v>5</v>
      </c>
      <c r="D19" s="117">
        <v>56776</v>
      </c>
      <c r="E19" s="117">
        <v>22764</v>
      </c>
      <c r="F19" s="117">
        <v>13975</v>
      </c>
      <c r="G19" s="205">
        <v>2935</v>
      </c>
      <c r="H19" s="293">
        <f t="shared" ref="H19:H26" si="6">D19/D19*100</f>
        <v>100</v>
      </c>
      <c r="I19" s="117">
        <f>E19/D19*100</f>
        <v>40.094406087079051</v>
      </c>
      <c r="J19" s="117">
        <f>F19/D19*100</f>
        <v>24.614273636747921</v>
      </c>
      <c r="K19" s="286">
        <f>G19/D19*100</f>
        <v>5.1694377906157527</v>
      </c>
      <c r="L19" s="244"/>
    </row>
    <row r="20" spans="2:14" x14ac:dyDescent="0.25">
      <c r="B20" s="262"/>
      <c r="C20" s="117" t="s">
        <v>6</v>
      </c>
      <c r="D20" s="117">
        <v>63167</v>
      </c>
      <c r="E20" s="117">
        <v>34658</v>
      </c>
      <c r="F20" s="117">
        <v>9477</v>
      </c>
      <c r="G20" s="205">
        <v>9224</v>
      </c>
      <c r="H20" s="293">
        <f t="shared" si="6"/>
        <v>100</v>
      </c>
      <c r="I20" s="117">
        <f t="shared" ref="I20:I26" si="7">E20/D20*100</f>
        <v>54.86725663716814</v>
      </c>
      <c r="J20" s="117">
        <f t="shared" ref="J20:J26" si="8">F20/D20*100</f>
        <v>15.00308705494958</v>
      </c>
      <c r="K20" s="286">
        <f t="shared" ref="K20:K26" si="9">G20/D20*100</f>
        <v>14.602561464055599</v>
      </c>
      <c r="L20" s="244"/>
    </row>
    <row r="21" spans="2:14" x14ac:dyDescent="0.25">
      <c r="B21" s="262"/>
      <c r="C21" s="117" t="s">
        <v>7</v>
      </c>
      <c r="D21" s="117">
        <v>67520</v>
      </c>
      <c r="E21" s="117">
        <v>16755</v>
      </c>
      <c r="F21" s="117">
        <v>6969</v>
      </c>
      <c r="G21" s="205">
        <v>309</v>
      </c>
      <c r="H21" s="293">
        <f t="shared" si="6"/>
        <v>100</v>
      </c>
      <c r="I21" s="117">
        <f t="shared" si="7"/>
        <v>24.814869668246445</v>
      </c>
      <c r="J21" s="117">
        <f t="shared" si="8"/>
        <v>10.321386255924171</v>
      </c>
      <c r="K21" s="286">
        <f t="shared" si="9"/>
        <v>0.45764218009478674</v>
      </c>
      <c r="L21" s="244"/>
    </row>
    <row r="22" spans="2:14" x14ac:dyDescent="0.25">
      <c r="B22" s="262"/>
      <c r="C22" s="117" t="s">
        <v>8</v>
      </c>
      <c r="D22" s="117">
        <v>64832</v>
      </c>
      <c r="E22" s="117">
        <v>10675</v>
      </c>
      <c r="F22" s="117">
        <v>4946</v>
      </c>
      <c r="G22" s="205">
        <v>500</v>
      </c>
      <c r="H22" s="293">
        <f t="shared" si="6"/>
        <v>100</v>
      </c>
      <c r="I22" s="117">
        <f t="shared" si="7"/>
        <v>16.465634254689043</v>
      </c>
      <c r="J22" s="117">
        <f t="shared" si="8"/>
        <v>7.6289486673247779</v>
      </c>
      <c r="K22" s="286">
        <f t="shared" si="9"/>
        <v>0.77122408687068122</v>
      </c>
      <c r="L22" s="244"/>
    </row>
    <row r="23" spans="2:14" x14ac:dyDescent="0.25">
      <c r="B23" s="262"/>
      <c r="C23" s="117" t="s">
        <v>14</v>
      </c>
      <c r="D23" s="117">
        <v>65643</v>
      </c>
      <c r="E23" s="117">
        <v>28976</v>
      </c>
      <c r="F23" s="117">
        <v>5689</v>
      </c>
      <c r="G23" s="205">
        <v>5674</v>
      </c>
      <c r="H23" s="293">
        <f t="shared" si="6"/>
        <v>100</v>
      </c>
      <c r="I23" s="117">
        <f t="shared" si="7"/>
        <v>44.14179729750316</v>
      </c>
      <c r="J23" s="117">
        <f t="shared" si="8"/>
        <v>8.6665752631659121</v>
      </c>
      <c r="K23" s="286">
        <f t="shared" si="9"/>
        <v>8.6437243879773931</v>
      </c>
      <c r="L23" s="244"/>
      <c r="M23" s="110"/>
      <c r="N23" s="110"/>
    </row>
    <row r="24" spans="2:14" x14ac:dyDescent="0.25">
      <c r="B24" s="262"/>
      <c r="C24" s="117" t="s">
        <v>15</v>
      </c>
      <c r="D24" s="117">
        <v>75230</v>
      </c>
      <c r="E24" s="117">
        <v>33209</v>
      </c>
      <c r="F24" s="117">
        <v>7267</v>
      </c>
      <c r="G24" s="205">
        <v>1234</v>
      </c>
      <c r="H24" s="293">
        <f t="shared" si="6"/>
        <v>100</v>
      </c>
      <c r="I24" s="117">
        <f t="shared" si="7"/>
        <v>44.143293898710624</v>
      </c>
      <c r="J24" s="117">
        <f t="shared" si="8"/>
        <v>9.6597102219859092</v>
      </c>
      <c r="K24" s="286">
        <f t="shared" si="9"/>
        <v>1.6403030705835437</v>
      </c>
      <c r="L24" s="244"/>
      <c r="M24" s="244"/>
      <c r="N24" s="244"/>
    </row>
    <row r="25" spans="2:14" x14ac:dyDescent="0.25">
      <c r="B25" s="262"/>
      <c r="C25" s="117" t="s">
        <v>19</v>
      </c>
      <c r="D25" s="117">
        <v>64520</v>
      </c>
      <c r="E25" s="117">
        <v>26778</v>
      </c>
      <c r="F25" s="117">
        <v>7600</v>
      </c>
      <c r="G25" s="205">
        <v>890</v>
      </c>
      <c r="H25" s="293">
        <f t="shared" si="6"/>
        <v>100</v>
      </c>
      <c r="I25" s="117">
        <f t="shared" si="7"/>
        <v>41.503409795412274</v>
      </c>
      <c r="J25" s="117">
        <f t="shared" si="8"/>
        <v>11.779293242405457</v>
      </c>
      <c r="K25" s="286">
        <f t="shared" si="9"/>
        <v>1.3794172349659022</v>
      </c>
      <c r="L25" s="244"/>
      <c r="M25" s="244"/>
      <c r="N25" s="244"/>
    </row>
    <row r="26" spans="2:14" x14ac:dyDescent="0.25">
      <c r="B26" s="262"/>
      <c r="C26" s="117" t="s">
        <v>21</v>
      </c>
      <c r="D26" s="117">
        <v>77587</v>
      </c>
      <c r="E26" s="117">
        <v>28965</v>
      </c>
      <c r="F26" s="117">
        <v>5678</v>
      </c>
      <c r="G26" s="205">
        <v>1256</v>
      </c>
      <c r="H26" s="293">
        <f t="shared" si="6"/>
        <v>100</v>
      </c>
      <c r="I26" s="117">
        <f t="shared" si="7"/>
        <v>37.332285047752848</v>
      </c>
      <c r="J26" s="117">
        <f t="shared" si="8"/>
        <v>7.3182363024733519</v>
      </c>
      <c r="K26" s="286">
        <f t="shared" si="9"/>
        <v>1.6188278964259475</v>
      </c>
      <c r="L26" s="244"/>
      <c r="M26" s="244"/>
      <c r="N26" s="244"/>
    </row>
    <row r="27" spans="2:14" x14ac:dyDescent="0.25">
      <c r="B27" s="262"/>
      <c r="C27" s="117"/>
      <c r="D27" s="117"/>
      <c r="E27" s="117"/>
      <c r="F27" s="117"/>
      <c r="G27" s="205"/>
      <c r="H27" s="293"/>
      <c r="I27" s="117"/>
      <c r="J27" s="117"/>
      <c r="K27" s="286"/>
      <c r="L27" s="244"/>
      <c r="M27" s="244"/>
      <c r="N27" s="244"/>
    </row>
    <row r="28" spans="2:14" x14ac:dyDescent="0.25">
      <c r="B28" s="262"/>
      <c r="C28" s="55" t="s">
        <v>56</v>
      </c>
      <c r="D28" s="239">
        <f>AVERAGE(D19:D26)</f>
        <v>66909.375</v>
      </c>
      <c r="E28" s="239">
        <f t="shared" ref="E28:G28" si="10">AVERAGE(E19:E26)</f>
        <v>25347.5</v>
      </c>
      <c r="F28" s="239">
        <f t="shared" si="10"/>
        <v>7700.125</v>
      </c>
      <c r="G28" s="163">
        <f t="shared" si="10"/>
        <v>2752.75</v>
      </c>
      <c r="H28" s="128">
        <f>AVERAGE(H19:H26)</f>
        <v>100</v>
      </c>
      <c r="I28" s="55">
        <f>AVERAGE(I19:I26)</f>
        <v>37.920369085820198</v>
      </c>
      <c r="J28" s="55">
        <f>AVERAGE(J19:J26)</f>
        <v>11.873938830622134</v>
      </c>
      <c r="K28" s="141">
        <f>AVERAGE(K19:K26)</f>
        <v>4.2853922639487001</v>
      </c>
      <c r="L28" s="244"/>
      <c r="M28" s="244"/>
      <c r="N28" s="244"/>
    </row>
    <row r="29" spans="2:14" ht="15.75" thickBot="1" x14ac:dyDescent="0.3">
      <c r="B29" s="269"/>
      <c r="C29" s="380" t="s">
        <v>22</v>
      </c>
      <c r="D29" s="233">
        <f t="shared" ref="D29:K29" si="11">_xlfn.STDEV.S(D19:D26)</f>
        <v>6675.5021627589931</v>
      </c>
      <c r="E29" s="233">
        <f t="shared" si="11"/>
        <v>8216.4906133945042</v>
      </c>
      <c r="F29" s="233">
        <f t="shared" si="11"/>
        <v>2902.7653041047402</v>
      </c>
      <c r="G29" s="241">
        <f t="shared" si="11"/>
        <v>3151.1333448686137</v>
      </c>
      <c r="H29" s="242">
        <f t="shared" si="11"/>
        <v>0</v>
      </c>
      <c r="I29" s="142">
        <f t="shared" si="11"/>
        <v>12.039210830813785</v>
      </c>
      <c r="J29" s="142">
        <f t="shared" si="11"/>
        <v>5.7132856854275955</v>
      </c>
      <c r="K29" s="143">
        <f t="shared" si="11"/>
        <v>5.0110360721895946</v>
      </c>
      <c r="L29" s="244"/>
      <c r="M29" s="244"/>
      <c r="N29" s="244"/>
    </row>
    <row r="30" spans="2:14" x14ac:dyDescent="0.25">
      <c r="B30" s="244"/>
      <c r="C30" s="244"/>
      <c r="D30" s="294"/>
      <c r="E30" s="60"/>
      <c r="F30" s="244"/>
      <c r="G30" s="294"/>
      <c r="H30" s="60"/>
      <c r="I30" s="244"/>
      <c r="J30" s="294"/>
      <c r="K30" s="60"/>
      <c r="L30" s="244"/>
      <c r="M30" s="244"/>
      <c r="N30" s="244"/>
    </row>
    <row r="31" spans="2:14" x14ac:dyDescent="0.25">
      <c r="B31" s="244"/>
      <c r="C31" s="244"/>
      <c r="D31" s="294"/>
      <c r="E31" s="60"/>
      <c r="F31" s="244"/>
      <c r="G31" s="294"/>
      <c r="H31" s="60"/>
      <c r="I31" s="244"/>
      <c r="J31" s="294"/>
      <c r="K31" s="60"/>
      <c r="L31" s="244"/>
      <c r="M31" s="244"/>
      <c r="N31" s="244"/>
    </row>
    <row r="32" spans="2:14" x14ac:dyDescent="0.25">
      <c r="B32" s="244"/>
      <c r="C32" s="244"/>
      <c r="D32" s="244"/>
      <c r="E32" s="244"/>
      <c r="F32" s="244"/>
      <c r="G32" s="244"/>
      <c r="H32" s="244"/>
      <c r="I32" s="244"/>
      <c r="J32" s="244"/>
      <c r="K32" s="244"/>
      <c r="L32" s="244"/>
      <c r="M32" s="244"/>
      <c r="N32" s="244"/>
    </row>
    <row r="33" spans="2:14" x14ac:dyDescent="0.25">
      <c r="B33" s="244"/>
      <c r="C33" s="244"/>
      <c r="D33" s="244"/>
      <c r="E33" s="244"/>
      <c r="F33" s="244"/>
      <c r="G33" s="244"/>
      <c r="H33" s="244"/>
      <c r="I33" s="244"/>
      <c r="J33" s="244"/>
      <c r="K33" s="244"/>
      <c r="L33" s="244"/>
      <c r="M33" s="244"/>
      <c r="N33" s="244"/>
    </row>
    <row r="34" spans="2:14" x14ac:dyDescent="0.25">
      <c r="B34" s="244"/>
      <c r="C34" s="244"/>
      <c r="D34" s="244"/>
      <c r="E34" s="244"/>
      <c r="F34" s="244"/>
      <c r="G34" s="244"/>
      <c r="H34" s="244"/>
      <c r="I34" s="244"/>
      <c r="J34" s="244"/>
      <c r="K34" s="244"/>
      <c r="L34" s="244"/>
      <c r="M34" s="244"/>
      <c r="N34" s="244"/>
    </row>
    <row r="35" spans="2:14" x14ac:dyDescent="0.25">
      <c r="B35" s="244"/>
      <c r="C35" s="244"/>
      <c r="D35" s="244"/>
      <c r="E35" s="244"/>
      <c r="F35" s="244"/>
      <c r="G35" s="244"/>
      <c r="H35" s="244"/>
      <c r="I35" s="244"/>
      <c r="J35" s="244"/>
      <c r="K35" s="244"/>
      <c r="L35" s="244"/>
      <c r="M35" s="244"/>
      <c r="N35" s="244"/>
    </row>
    <row r="36" spans="2:14" x14ac:dyDescent="0.25">
      <c r="B36" s="244"/>
      <c r="C36" s="244"/>
      <c r="D36" s="244"/>
      <c r="E36" s="244"/>
      <c r="F36" s="244"/>
      <c r="G36" s="244"/>
      <c r="H36" s="244"/>
      <c r="I36" s="244"/>
      <c r="J36" s="244"/>
      <c r="K36" s="244"/>
      <c r="L36" s="244"/>
      <c r="M36" s="244"/>
      <c r="N36" s="244"/>
    </row>
    <row r="37" spans="2:14" x14ac:dyDescent="0.25">
      <c r="M37" s="244"/>
      <c r="N37" s="244"/>
    </row>
    <row r="38" spans="2:14" x14ac:dyDescent="0.25">
      <c r="M38" s="244"/>
      <c r="N38" s="244"/>
    </row>
    <row r="39" spans="2:14" x14ac:dyDescent="0.25">
      <c r="M39" s="244"/>
      <c r="N39" s="244"/>
    </row>
  </sheetData>
  <mergeCells count="2">
    <mergeCell ref="D3:E3"/>
    <mergeCell ref="O3:P3"/>
  </mergeCells>
  <pageMargins left="0.7" right="0.7" top="0.75" bottom="0.75" header="0.3" footer="0.3"/>
  <pageSetup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2:L24"/>
  <sheetViews>
    <sheetView zoomScale="60" zoomScaleNormal="60" workbookViewId="0"/>
  </sheetViews>
  <sheetFormatPr defaultColWidth="9.140625" defaultRowHeight="15" x14ac:dyDescent="0.25"/>
  <cols>
    <col min="1" max="1" width="3" style="255" customWidth="1"/>
    <col min="2" max="2" width="22.5703125" style="255" customWidth="1"/>
    <col min="3" max="3" width="19.7109375" style="255" customWidth="1"/>
    <col min="4" max="4" width="19.42578125" style="255" customWidth="1"/>
    <col min="5" max="5" width="18.28515625" style="255" bestFit="1" customWidth="1"/>
    <col min="6" max="6" width="18.42578125" style="255" customWidth="1"/>
    <col min="7" max="7" width="28.28515625" style="255" customWidth="1"/>
    <col min="8" max="8" width="25.28515625" style="255" customWidth="1"/>
    <col min="9" max="9" width="24.42578125" style="255" bestFit="1" customWidth="1"/>
    <col min="10" max="10" width="28.7109375" style="255" bestFit="1" customWidth="1"/>
    <col min="11" max="11" width="28.7109375" style="255" customWidth="1"/>
    <col min="12" max="16384" width="9.140625" style="255"/>
  </cols>
  <sheetData>
    <row r="2" spans="1:12" x14ac:dyDescent="0.25">
      <c r="B2" s="329" t="s">
        <v>266</v>
      </c>
      <c r="C2" s="329"/>
      <c r="D2" s="329"/>
    </row>
    <row r="3" spans="1:12" x14ac:dyDescent="0.25">
      <c r="B3" s="359" t="s">
        <v>50</v>
      </c>
    </row>
    <row r="4" spans="1:12" ht="30" x14ac:dyDescent="0.25">
      <c r="A4" s="34"/>
      <c r="B4" s="311" t="s">
        <v>262</v>
      </c>
      <c r="C4" s="395" t="s">
        <v>258</v>
      </c>
      <c r="D4" s="395" t="s">
        <v>257</v>
      </c>
      <c r="E4" s="395" t="s">
        <v>259</v>
      </c>
      <c r="F4" s="357" t="s">
        <v>260</v>
      </c>
      <c r="G4" s="34"/>
    </row>
    <row r="5" spans="1:12" x14ac:dyDescent="0.25">
      <c r="A5" s="34"/>
      <c r="B5" s="291" t="s">
        <v>5</v>
      </c>
      <c r="C5" s="396">
        <v>29.5</v>
      </c>
      <c r="D5" s="118">
        <v>27.5</v>
      </c>
      <c r="E5" s="118">
        <v>28.6</v>
      </c>
      <c r="F5" s="263">
        <v>14.7</v>
      </c>
      <c r="G5" s="34"/>
      <c r="L5" s="324"/>
    </row>
    <row r="6" spans="1:12" x14ac:dyDescent="0.25">
      <c r="A6" s="34"/>
      <c r="B6" s="293" t="s">
        <v>6</v>
      </c>
      <c r="C6" s="239">
        <v>29.7</v>
      </c>
      <c r="D6" s="117">
        <v>23.2</v>
      </c>
      <c r="E6" s="117">
        <v>21.8</v>
      </c>
      <c r="F6" s="205">
        <v>19.3</v>
      </c>
      <c r="G6" s="34"/>
      <c r="L6" s="324"/>
    </row>
    <row r="7" spans="1:12" x14ac:dyDescent="0.25">
      <c r="A7" s="34"/>
      <c r="B7" s="293" t="s">
        <v>7</v>
      </c>
      <c r="C7" s="239">
        <v>30.3</v>
      </c>
      <c r="D7" s="117">
        <v>29.4</v>
      </c>
      <c r="E7" s="117">
        <v>28.5</v>
      </c>
      <c r="F7" s="205">
        <v>25</v>
      </c>
      <c r="G7" s="34"/>
      <c r="L7" s="324"/>
    </row>
    <row r="8" spans="1:12" x14ac:dyDescent="0.25">
      <c r="A8" s="34"/>
      <c r="B8" s="293" t="s">
        <v>8</v>
      </c>
      <c r="C8" s="239">
        <v>30.6</v>
      </c>
      <c r="D8" s="117">
        <v>31.5</v>
      </c>
      <c r="E8" s="117">
        <v>24.1</v>
      </c>
      <c r="F8" s="205">
        <v>25</v>
      </c>
      <c r="G8" s="34"/>
      <c r="L8" s="324"/>
    </row>
    <row r="9" spans="1:12" x14ac:dyDescent="0.25">
      <c r="A9" s="34"/>
      <c r="B9" s="293" t="s">
        <v>14</v>
      </c>
      <c r="C9" s="117" t="s">
        <v>173</v>
      </c>
      <c r="D9" s="117">
        <v>29.4</v>
      </c>
      <c r="E9" s="117">
        <v>25.5</v>
      </c>
      <c r="F9" s="205">
        <v>17</v>
      </c>
      <c r="G9" s="34"/>
      <c r="L9" s="324"/>
    </row>
    <row r="10" spans="1:12" x14ac:dyDescent="0.25">
      <c r="A10" s="34"/>
      <c r="B10" s="293"/>
      <c r="C10" s="117"/>
      <c r="D10" s="117"/>
      <c r="E10" s="117"/>
      <c r="F10" s="205"/>
      <c r="G10" s="34"/>
      <c r="L10" s="324"/>
    </row>
    <row r="11" spans="1:12" x14ac:dyDescent="0.25">
      <c r="A11" s="34"/>
      <c r="B11" s="128" t="s">
        <v>56</v>
      </c>
      <c r="C11" s="55">
        <f>AVERAGE(C5:C8)</f>
        <v>30.024999999999999</v>
      </c>
      <c r="D11" s="55">
        <f>AVERAGE(D5:D9)</f>
        <v>28.2</v>
      </c>
      <c r="E11" s="55">
        <f>AVERAGE(E5:E9)</f>
        <v>25.7</v>
      </c>
      <c r="F11" s="17">
        <f>AVERAGE(F5:F9)</f>
        <v>20.2</v>
      </c>
      <c r="G11" s="34"/>
      <c r="L11" s="324"/>
    </row>
    <row r="12" spans="1:12" x14ac:dyDescent="0.25">
      <c r="A12" s="34"/>
      <c r="B12" s="293" t="s">
        <v>22</v>
      </c>
      <c r="C12" s="117">
        <f>_xlfn.STDEV.S(C5:C8)</f>
        <v>0.51234753829798074</v>
      </c>
      <c r="D12" s="117">
        <f>_xlfn.STDEV.S(D5:D9)</f>
        <v>3.1328900395641082</v>
      </c>
      <c r="E12" s="117">
        <f>_xlfn.STDEV.S(E5:E9)</f>
        <v>2.9180472922829721</v>
      </c>
      <c r="F12" s="205">
        <f>_xlfn.STDEV.S(F5:F9)</f>
        <v>4.6738634982207143</v>
      </c>
      <c r="G12" s="34"/>
      <c r="L12" s="324"/>
    </row>
    <row r="13" spans="1:12" x14ac:dyDescent="0.25">
      <c r="A13" s="34"/>
      <c r="B13" s="397" t="s">
        <v>9</v>
      </c>
      <c r="C13" s="56">
        <f>C12/(SQRT(COUNT(C5:C9)))</f>
        <v>0.25617376914899037</v>
      </c>
      <c r="D13" s="56">
        <f>D12/(SQRT(COUNT(D5:D9)))</f>
        <v>1.4010710188994702</v>
      </c>
      <c r="E13" s="56">
        <f>E12/(SQRT(COUNT(E5:E9)))</f>
        <v>1.3049904214207846</v>
      </c>
      <c r="F13" s="20">
        <f>F12/(SQRT(COUNT(F5:F9)))</f>
        <v>2.0902152999152968</v>
      </c>
      <c r="G13" s="34"/>
      <c r="L13" s="324"/>
    </row>
    <row r="14" spans="1:12" x14ac:dyDescent="0.25">
      <c r="A14" s="34"/>
      <c r="B14" s="34"/>
      <c r="C14" s="34"/>
      <c r="D14" s="34"/>
      <c r="E14" s="34"/>
      <c r="F14" s="34"/>
      <c r="G14" s="34"/>
      <c r="H14" s="247"/>
      <c r="I14" s="333"/>
      <c r="J14" s="333"/>
      <c r="K14" s="247"/>
      <c r="L14" s="324"/>
    </row>
    <row r="15" spans="1:12" x14ac:dyDescent="0.25">
      <c r="A15" s="34"/>
      <c r="B15" s="34"/>
      <c r="C15" s="34"/>
      <c r="D15" s="34"/>
      <c r="E15" s="34"/>
      <c r="F15" s="34"/>
      <c r="G15" s="34"/>
      <c r="H15" s="247"/>
      <c r="I15" s="247"/>
      <c r="J15" s="247"/>
      <c r="K15" s="247"/>
      <c r="L15" s="324"/>
    </row>
    <row r="16" spans="1:12" x14ac:dyDescent="0.25">
      <c r="A16" s="34"/>
      <c r="B16" s="34"/>
      <c r="C16" s="34"/>
      <c r="D16" s="34"/>
      <c r="E16" s="34"/>
      <c r="F16" s="34"/>
      <c r="G16" s="34"/>
      <c r="H16" s="247"/>
      <c r="I16" s="247"/>
      <c r="J16" s="247"/>
      <c r="K16" s="247"/>
    </row>
    <row r="17" spans="8:11" x14ac:dyDescent="0.25">
      <c r="H17" s="247"/>
      <c r="I17" s="247"/>
      <c r="J17" s="247"/>
      <c r="K17" s="247"/>
    </row>
    <row r="18" spans="8:11" x14ac:dyDescent="0.25">
      <c r="H18" s="247"/>
      <c r="I18" s="333"/>
      <c r="J18" s="333"/>
      <c r="K18" s="333"/>
    </row>
    <row r="19" spans="8:11" x14ac:dyDescent="0.25">
      <c r="H19" s="247"/>
      <c r="I19" s="333"/>
      <c r="J19" s="333"/>
      <c r="K19" s="247"/>
    </row>
    <row r="20" spans="8:11" x14ac:dyDescent="0.25">
      <c r="H20" s="247"/>
      <c r="I20" s="333"/>
      <c r="J20" s="333"/>
      <c r="K20" s="333"/>
    </row>
    <row r="21" spans="8:11" x14ac:dyDescent="0.25">
      <c r="H21" s="247"/>
      <c r="I21" s="247"/>
      <c r="J21" s="247"/>
      <c r="K21" s="247"/>
    </row>
    <row r="22" spans="8:11" x14ac:dyDescent="0.25">
      <c r="H22" s="247"/>
      <c r="I22" s="247"/>
      <c r="J22" s="247"/>
      <c r="K22" s="247"/>
    </row>
    <row r="23" spans="8:11" x14ac:dyDescent="0.25">
      <c r="H23" s="247"/>
      <c r="I23" s="247"/>
      <c r="J23" s="247"/>
      <c r="K23" s="247"/>
    </row>
    <row r="24" spans="8:11" x14ac:dyDescent="0.25">
      <c r="H24" s="247"/>
      <c r="I24" s="247"/>
      <c r="J24" s="247"/>
      <c r="K24" s="247"/>
    </row>
  </sheetData>
  <pageMargins left="0.7" right="0.7" top="0.75" bottom="0.75" header="0.3" footer="0.3"/>
  <pageSetup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AJ111"/>
  <sheetViews>
    <sheetView zoomScale="60" zoomScaleNormal="60" workbookViewId="0"/>
  </sheetViews>
  <sheetFormatPr defaultColWidth="8.85546875" defaultRowHeight="15" x14ac:dyDescent="0.25"/>
  <cols>
    <col min="1" max="1" width="2.85546875" customWidth="1"/>
    <col min="2" max="2" width="29.85546875" customWidth="1"/>
    <col min="3" max="3" width="18.28515625" bestFit="1" customWidth="1"/>
    <col min="4" max="4" width="9.85546875" bestFit="1" customWidth="1"/>
    <col min="5" max="5" width="14" bestFit="1" customWidth="1"/>
    <col min="6" max="6" width="15.5703125" bestFit="1" customWidth="1"/>
    <col min="7" max="7" width="9.28515625" bestFit="1" customWidth="1"/>
    <col min="8" max="8" width="10.42578125" bestFit="1" customWidth="1"/>
    <col min="9" max="9" width="11.28515625" customWidth="1"/>
    <col min="10" max="10" width="14.140625" bestFit="1" customWidth="1"/>
    <col min="11" max="11" width="14.7109375" bestFit="1" customWidth="1"/>
    <col min="12" max="12" width="10.85546875" bestFit="1" customWidth="1"/>
    <col min="13" max="13" width="26.28515625" bestFit="1" customWidth="1"/>
    <col min="14" max="14" width="25.5703125" bestFit="1" customWidth="1"/>
    <col min="15" max="15" width="3.42578125" customWidth="1"/>
    <col min="16" max="16" width="26.5703125" bestFit="1" customWidth="1"/>
    <col min="17" max="17" width="19.140625" bestFit="1" customWidth="1"/>
    <col min="18" max="18" width="12.5703125" bestFit="1" customWidth="1"/>
    <col min="19" max="19" width="14.140625" bestFit="1" customWidth="1"/>
    <col min="20" max="20" width="15.5703125" bestFit="1" customWidth="1"/>
    <col min="21" max="22" width="10.42578125" bestFit="1" customWidth="1"/>
    <col min="23" max="23" width="14.140625" bestFit="1" customWidth="1"/>
    <col min="24" max="24" width="15.5703125" bestFit="1" customWidth="1"/>
    <col min="25" max="25" width="14" bestFit="1" customWidth="1"/>
    <col min="26" max="26" width="10.85546875" bestFit="1" customWidth="1"/>
    <col min="27" max="27" width="25.5703125" customWidth="1"/>
    <col min="28" max="28" width="27.5703125" customWidth="1"/>
    <col min="29" max="29" width="25.140625" customWidth="1"/>
    <col min="30" max="30" width="13.7109375" customWidth="1"/>
    <col min="31" max="31" width="8.85546875" customWidth="1"/>
    <col min="32" max="32" width="4.85546875" customWidth="1"/>
  </cols>
  <sheetData>
    <row r="1" spans="2:34" s="122" customFormat="1" x14ac:dyDescent="0.25"/>
    <row r="2" spans="2:34" s="122" customFormat="1" x14ac:dyDescent="0.25">
      <c r="B2" s="127" t="s">
        <v>265</v>
      </c>
    </row>
    <row r="3" spans="2:34" x14ac:dyDescent="0.25">
      <c r="B3" s="2" t="s">
        <v>50</v>
      </c>
      <c r="C3" s="1"/>
      <c r="D3" s="1"/>
      <c r="E3" s="1"/>
      <c r="F3" s="1"/>
      <c r="G3" s="1"/>
      <c r="H3" s="1"/>
      <c r="I3" s="1"/>
      <c r="J3" s="1"/>
      <c r="K3" s="1"/>
      <c r="L3" s="1"/>
      <c r="M3" s="80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9"/>
      <c r="AC3" s="9"/>
      <c r="AD3" s="45"/>
      <c r="AE3" s="45"/>
      <c r="AF3" s="45"/>
    </row>
    <row r="4" spans="2:34" ht="14.1" customHeight="1" x14ac:dyDescent="0.25">
      <c r="B4" s="4" t="s">
        <v>4</v>
      </c>
      <c r="C4" s="5" t="s">
        <v>262</v>
      </c>
      <c r="D4" s="450" t="s">
        <v>137</v>
      </c>
      <c r="E4" s="450" t="s">
        <v>138</v>
      </c>
      <c r="F4" s="450" t="s">
        <v>139</v>
      </c>
      <c r="G4" s="190" t="s">
        <v>140</v>
      </c>
      <c r="H4" s="450" t="s">
        <v>140</v>
      </c>
      <c r="I4" s="450" t="s">
        <v>140</v>
      </c>
      <c r="J4" s="190" t="s">
        <v>139</v>
      </c>
      <c r="K4" s="190" t="s">
        <v>138</v>
      </c>
      <c r="L4" s="190" t="s">
        <v>141</v>
      </c>
      <c r="M4" s="451" t="s">
        <v>142</v>
      </c>
      <c r="N4" s="451" t="s">
        <v>205</v>
      </c>
      <c r="O4" s="1"/>
      <c r="P4" s="4" t="s">
        <v>25</v>
      </c>
      <c r="Q4" s="190" t="s">
        <v>262</v>
      </c>
      <c r="R4" s="450" t="s">
        <v>137</v>
      </c>
      <c r="S4" s="450" t="s">
        <v>138</v>
      </c>
      <c r="T4" s="450" t="s">
        <v>139</v>
      </c>
      <c r="U4" s="190" t="s">
        <v>140</v>
      </c>
      <c r="V4" s="450" t="s">
        <v>140</v>
      </c>
      <c r="W4" s="450" t="s">
        <v>140</v>
      </c>
      <c r="X4" s="190" t="s">
        <v>139</v>
      </c>
      <c r="Y4" s="190" t="s">
        <v>138</v>
      </c>
      <c r="Z4" s="190" t="s">
        <v>141</v>
      </c>
      <c r="AA4" s="451" t="s">
        <v>142</v>
      </c>
      <c r="AB4" s="40" t="s">
        <v>205</v>
      </c>
      <c r="AC4" s="1"/>
      <c r="AD4" s="464"/>
      <c r="AE4" s="464"/>
      <c r="AF4" s="464"/>
      <c r="AG4" s="464"/>
      <c r="AH4" s="464"/>
    </row>
    <row r="5" spans="2:34" ht="18.75" x14ac:dyDescent="0.25">
      <c r="B5" s="43" t="s">
        <v>209</v>
      </c>
      <c r="C5" s="22" t="s">
        <v>5</v>
      </c>
      <c r="D5" s="22">
        <v>11</v>
      </c>
      <c r="E5" s="22">
        <v>0</v>
      </c>
      <c r="F5" s="22">
        <v>0</v>
      </c>
      <c r="G5" s="22">
        <v>0</v>
      </c>
      <c r="H5" s="22">
        <v>0</v>
      </c>
      <c r="I5" s="22">
        <v>0</v>
      </c>
      <c r="J5" s="22">
        <v>0</v>
      </c>
      <c r="K5" s="22">
        <v>0</v>
      </c>
      <c r="L5" s="22">
        <v>10</v>
      </c>
      <c r="M5" s="14">
        <v>21</v>
      </c>
      <c r="N5" s="14">
        <f>AVERAGE(M5:M6)</f>
        <v>25.5</v>
      </c>
      <c r="O5" s="1"/>
      <c r="P5" s="43" t="s">
        <v>209</v>
      </c>
      <c r="Q5" s="22" t="s">
        <v>5</v>
      </c>
      <c r="R5" s="22">
        <v>9</v>
      </c>
      <c r="S5" s="22">
        <v>2</v>
      </c>
      <c r="T5" s="22">
        <v>0</v>
      </c>
      <c r="U5" s="22">
        <v>0</v>
      </c>
      <c r="V5" s="22">
        <v>0</v>
      </c>
      <c r="W5" s="22">
        <v>0</v>
      </c>
      <c r="X5" s="22">
        <v>0</v>
      </c>
      <c r="Y5" s="22">
        <v>0</v>
      </c>
      <c r="Z5" s="22">
        <v>10</v>
      </c>
      <c r="AA5" s="14">
        <v>21</v>
      </c>
      <c r="AB5" s="14">
        <f>AVERAGE(AA5:AA6)</f>
        <v>25.5</v>
      </c>
      <c r="AC5" s="1"/>
      <c r="AD5" s="464"/>
      <c r="AE5" s="464"/>
      <c r="AF5" s="464"/>
      <c r="AG5" s="464"/>
      <c r="AH5" s="464"/>
    </row>
    <row r="6" spans="2:34" ht="18.75" x14ac:dyDescent="0.25">
      <c r="B6" s="10"/>
      <c r="C6" s="11"/>
      <c r="D6" s="11">
        <v>14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3</v>
      </c>
      <c r="L6" s="11">
        <v>13</v>
      </c>
      <c r="M6" s="12">
        <v>30</v>
      </c>
      <c r="N6" s="12"/>
      <c r="O6" s="1"/>
      <c r="P6" s="10"/>
      <c r="Q6" s="11"/>
      <c r="R6" s="11">
        <v>12</v>
      </c>
      <c r="S6" s="11">
        <v>2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2</v>
      </c>
      <c r="Z6" s="11">
        <v>14</v>
      </c>
      <c r="AA6" s="12">
        <v>30</v>
      </c>
      <c r="AB6" s="12"/>
      <c r="AC6" s="1"/>
      <c r="AD6" s="464"/>
      <c r="AE6" s="464"/>
      <c r="AF6" s="464"/>
      <c r="AG6" s="464"/>
      <c r="AH6" s="464"/>
    </row>
    <row r="7" spans="2:34" ht="18.75" x14ac:dyDescent="0.25">
      <c r="B7" s="10"/>
      <c r="C7" s="11" t="s">
        <v>6</v>
      </c>
      <c r="D7" s="11">
        <v>13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17</v>
      </c>
      <c r="M7" s="12">
        <v>30</v>
      </c>
      <c r="N7" s="12">
        <f>AVERAGE(M7:M8)</f>
        <v>30.5</v>
      </c>
      <c r="O7" s="1"/>
      <c r="P7" s="10"/>
      <c r="Q7" s="11" t="s">
        <v>6</v>
      </c>
      <c r="R7" s="11">
        <v>13</v>
      </c>
      <c r="S7" s="11">
        <v>6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14</v>
      </c>
      <c r="AA7" s="12">
        <v>33</v>
      </c>
      <c r="AB7" s="12">
        <f>AVERAGE(AA7:AA8)</f>
        <v>28</v>
      </c>
      <c r="AC7" s="1"/>
      <c r="AD7" s="464"/>
      <c r="AE7" s="464"/>
      <c r="AF7" s="464"/>
      <c r="AG7" s="464"/>
      <c r="AH7" s="464"/>
    </row>
    <row r="8" spans="2:34" ht="18.75" x14ac:dyDescent="0.25">
      <c r="B8" s="10"/>
      <c r="C8" s="11"/>
      <c r="D8" s="11">
        <v>12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1</v>
      </c>
      <c r="L8" s="11">
        <v>18</v>
      </c>
      <c r="M8" s="12">
        <v>31</v>
      </c>
      <c r="N8" s="12"/>
      <c r="O8" s="1"/>
      <c r="P8" s="10"/>
      <c r="Q8" s="11"/>
      <c r="R8" s="11">
        <v>12</v>
      </c>
      <c r="S8" s="11">
        <v>2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1</v>
      </c>
      <c r="Z8" s="11">
        <v>8</v>
      </c>
      <c r="AA8" s="12">
        <v>23</v>
      </c>
      <c r="AB8" s="12"/>
      <c r="AC8" s="1"/>
      <c r="AD8" s="464"/>
      <c r="AE8" s="464"/>
      <c r="AF8" s="464"/>
      <c r="AG8" s="464"/>
      <c r="AH8" s="464"/>
    </row>
    <row r="9" spans="2:34" x14ac:dyDescent="0.25">
      <c r="B9" s="10"/>
      <c r="C9" s="11" t="s">
        <v>7</v>
      </c>
      <c r="D9" s="11">
        <v>9</v>
      </c>
      <c r="E9" s="11">
        <v>1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13</v>
      </c>
      <c r="M9" s="12">
        <v>23</v>
      </c>
      <c r="N9" s="12">
        <f>AVERAGE(M9:M10)</f>
        <v>23</v>
      </c>
      <c r="O9" s="1"/>
      <c r="P9" s="10"/>
      <c r="Q9" s="11" t="s">
        <v>7</v>
      </c>
      <c r="R9" s="11">
        <v>8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2</v>
      </c>
      <c r="Z9" s="11">
        <v>15</v>
      </c>
      <c r="AA9" s="12">
        <v>25</v>
      </c>
      <c r="AB9" s="12">
        <f>AVERAGE(AA9:AA10)</f>
        <v>28.5</v>
      </c>
      <c r="AC9" s="1"/>
      <c r="AD9" s="9"/>
      <c r="AE9" s="9"/>
      <c r="AF9" s="45"/>
      <c r="AG9" s="45"/>
      <c r="AH9" s="45"/>
    </row>
    <row r="10" spans="2:34" x14ac:dyDescent="0.25">
      <c r="B10" s="10"/>
      <c r="C10" s="11"/>
      <c r="D10" s="11">
        <v>11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2</v>
      </c>
      <c r="L10" s="11">
        <v>10</v>
      </c>
      <c r="M10" s="12">
        <v>23</v>
      </c>
      <c r="N10" s="12"/>
      <c r="O10" s="1"/>
      <c r="P10" s="10"/>
      <c r="Q10" s="11"/>
      <c r="R10" s="11">
        <v>14</v>
      </c>
      <c r="S10" s="11">
        <v>3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2</v>
      </c>
      <c r="Z10" s="11">
        <v>13</v>
      </c>
      <c r="AA10" s="12">
        <v>32</v>
      </c>
      <c r="AB10" s="12"/>
      <c r="AC10" s="1"/>
      <c r="AD10" s="9"/>
      <c r="AE10" s="9"/>
      <c r="AF10" s="45"/>
      <c r="AG10" s="45"/>
      <c r="AH10" s="45"/>
    </row>
    <row r="11" spans="2:34" x14ac:dyDescent="0.25">
      <c r="B11" s="10"/>
      <c r="C11" s="11" t="s">
        <v>8</v>
      </c>
      <c r="D11" s="11">
        <v>12</v>
      </c>
      <c r="E11" s="11">
        <v>1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4</v>
      </c>
      <c r="L11" s="11">
        <v>13</v>
      </c>
      <c r="M11" s="12">
        <v>30</v>
      </c>
      <c r="N11" s="12">
        <f>AVERAGE(M11:M12)</f>
        <v>24.5</v>
      </c>
      <c r="O11" s="1"/>
      <c r="P11" s="10"/>
      <c r="Q11" s="11" t="s">
        <v>8</v>
      </c>
      <c r="R11" s="11">
        <v>18</v>
      </c>
      <c r="S11" s="11">
        <v>1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3</v>
      </c>
      <c r="Z11" s="11">
        <v>16</v>
      </c>
      <c r="AA11" s="12">
        <v>38</v>
      </c>
      <c r="AB11" s="12">
        <f>AVERAGE(AA11:AA12)</f>
        <v>30.5</v>
      </c>
      <c r="AC11" s="1"/>
      <c r="AD11" s="9"/>
      <c r="AE11" s="9"/>
      <c r="AF11" s="45"/>
      <c r="AG11" s="45"/>
      <c r="AH11" s="45"/>
    </row>
    <row r="12" spans="2:34" x14ac:dyDescent="0.25">
      <c r="B12" s="10"/>
      <c r="C12" s="11"/>
      <c r="D12" s="11">
        <v>9</v>
      </c>
      <c r="E12" s="11">
        <v>1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3</v>
      </c>
      <c r="L12" s="11">
        <v>6</v>
      </c>
      <c r="M12" s="12">
        <v>19</v>
      </c>
      <c r="N12" s="12"/>
      <c r="O12" s="1"/>
      <c r="P12" s="10"/>
      <c r="Q12" s="11"/>
      <c r="R12" s="11">
        <v>9</v>
      </c>
      <c r="S12" s="11">
        <v>1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1</v>
      </c>
      <c r="Z12" s="11">
        <v>12</v>
      </c>
      <c r="AA12" s="12">
        <v>23</v>
      </c>
      <c r="AB12" s="12"/>
      <c r="AC12" s="1"/>
      <c r="AD12" s="9"/>
      <c r="AE12" s="9"/>
      <c r="AF12" s="45"/>
      <c r="AG12" s="45"/>
      <c r="AH12" s="45"/>
    </row>
    <row r="13" spans="2:34" x14ac:dyDescent="0.25">
      <c r="B13" s="10"/>
      <c r="C13" s="11" t="s">
        <v>14</v>
      </c>
      <c r="D13" s="11">
        <v>11</v>
      </c>
      <c r="E13" s="11">
        <v>1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15</v>
      </c>
      <c r="M13" s="12">
        <v>27</v>
      </c>
      <c r="N13" s="12">
        <f>AVERAGE(M13:M14)</f>
        <v>33</v>
      </c>
      <c r="O13" s="1"/>
      <c r="P13" s="10"/>
      <c r="Q13" s="11" t="s">
        <v>14</v>
      </c>
      <c r="R13" s="11">
        <v>11</v>
      </c>
      <c r="S13" s="11">
        <v>6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18</v>
      </c>
      <c r="AA13" s="12">
        <v>35</v>
      </c>
      <c r="AB13" s="12">
        <f>AVERAGE(AA13:AA14)</f>
        <v>38</v>
      </c>
      <c r="AC13" s="1"/>
      <c r="AD13" s="9"/>
      <c r="AE13" s="9"/>
      <c r="AF13" s="45"/>
      <c r="AG13" s="45"/>
      <c r="AH13" s="45"/>
    </row>
    <row r="14" spans="2:34" x14ac:dyDescent="0.25">
      <c r="B14" s="10"/>
      <c r="C14" s="11"/>
      <c r="D14" s="11">
        <v>14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25</v>
      </c>
      <c r="M14" s="12">
        <v>39</v>
      </c>
      <c r="N14" s="12"/>
      <c r="O14" s="1"/>
      <c r="P14" s="10"/>
      <c r="Q14" s="11"/>
      <c r="R14" s="11">
        <v>19</v>
      </c>
      <c r="S14" s="11">
        <v>4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2</v>
      </c>
      <c r="Z14" s="11">
        <v>16</v>
      </c>
      <c r="AA14" s="12">
        <v>41</v>
      </c>
      <c r="AB14" s="12"/>
      <c r="AC14" s="1"/>
      <c r="AD14" s="9"/>
      <c r="AE14" s="9"/>
      <c r="AF14" s="45"/>
      <c r="AG14" s="45"/>
      <c r="AH14" s="45"/>
    </row>
    <row r="15" spans="2:34" x14ac:dyDescent="0.25">
      <c r="B15" s="10"/>
      <c r="C15" s="11" t="s">
        <v>15</v>
      </c>
      <c r="D15" s="11">
        <v>13</v>
      </c>
      <c r="E15" s="11">
        <v>1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5</v>
      </c>
      <c r="L15" s="11">
        <v>15</v>
      </c>
      <c r="M15" s="12">
        <v>34</v>
      </c>
      <c r="N15" s="12">
        <f>AVERAGE(M15:M16)</f>
        <v>26</v>
      </c>
      <c r="O15" s="1"/>
      <c r="P15" s="10"/>
      <c r="Q15" s="11" t="s">
        <v>15</v>
      </c>
      <c r="R15" s="11">
        <v>11</v>
      </c>
      <c r="S15" s="11">
        <v>4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16</v>
      </c>
      <c r="AA15" s="12">
        <v>31</v>
      </c>
      <c r="AB15" s="12">
        <f>AVERAGE(AA15:AA16)</f>
        <v>33</v>
      </c>
      <c r="AC15" s="1"/>
      <c r="AD15" s="9"/>
      <c r="AE15" s="9"/>
      <c r="AF15" s="45"/>
      <c r="AG15" s="45"/>
      <c r="AH15" s="45"/>
    </row>
    <row r="16" spans="2:34" x14ac:dyDescent="0.25">
      <c r="B16" s="10"/>
      <c r="C16" s="11"/>
      <c r="D16" s="11">
        <v>7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11</v>
      </c>
      <c r="M16" s="12">
        <v>18</v>
      </c>
      <c r="N16" s="12"/>
      <c r="O16" s="1"/>
      <c r="P16" s="10"/>
      <c r="Q16" s="11"/>
      <c r="R16" s="11">
        <v>16</v>
      </c>
      <c r="S16" s="11">
        <v>5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2</v>
      </c>
      <c r="Z16" s="11">
        <v>12</v>
      </c>
      <c r="AA16" s="12">
        <v>35</v>
      </c>
      <c r="AB16" s="12"/>
      <c r="AC16" s="1"/>
      <c r="AD16" s="9"/>
      <c r="AE16" s="9"/>
      <c r="AF16" s="45"/>
      <c r="AG16" s="45"/>
      <c r="AH16" s="45"/>
    </row>
    <row r="17" spans="2:36" x14ac:dyDescent="0.25">
      <c r="B17" s="10"/>
      <c r="C17" s="16" t="s">
        <v>56</v>
      </c>
      <c r="D17" s="55"/>
      <c r="E17" s="55"/>
      <c r="F17" s="55"/>
      <c r="G17" s="55"/>
      <c r="H17" s="55"/>
      <c r="I17" s="55"/>
      <c r="J17" s="55"/>
      <c r="K17" s="55"/>
      <c r="L17" s="55"/>
      <c r="M17" s="17"/>
      <c r="N17" s="17">
        <f>AVERAGE(N5:N16)</f>
        <v>27.083333333333332</v>
      </c>
      <c r="O17" s="1"/>
      <c r="P17" s="10"/>
      <c r="Q17" s="16" t="s">
        <v>56</v>
      </c>
      <c r="R17" s="55"/>
      <c r="S17" s="55"/>
      <c r="T17" s="55"/>
      <c r="U17" s="55"/>
      <c r="V17" s="55"/>
      <c r="W17" s="55"/>
      <c r="X17" s="55"/>
      <c r="Y17" s="55"/>
      <c r="Z17" s="55"/>
      <c r="AA17" s="17"/>
      <c r="AB17" s="17">
        <f>AVERAGE(AB5:AB16)</f>
        <v>30.583333333333332</v>
      </c>
      <c r="AC17" s="1"/>
      <c r="AD17" s="9"/>
      <c r="AE17" s="9"/>
      <c r="AF17" s="45"/>
      <c r="AG17" s="45"/>
      <c r="AH17" s="45"/>
    </row>
    <row r="18" spans="2:36" ht="12.75" customHeight="1" x14ac:dyDescent="0.25">
      <c r="B18" s="10"/>
      <c r="C18" s="16" t="s">
        <v>22</v>
      </c>
      <c r="D18" s="55"/>
      <c r="E18" s="55"/>
      <c r="F18" s="55"/>
      <c r="G18" s="55"/>
      <c r="H18" s="55"/>
      <c r="I18" s="55"/>
      <c r="J18" s="55"/>
      <c r="K18" s="55"/>
      <c r="L18" s="55"/>
      <c r="M18" s="17"/>
      <c r="N18" s="17">
        <f>_xlfn.STDEV.S(N5:N16)</f>
        <v>3.8394878130639518</v>
      </c>
      <c r="O18" s="1"/>
      <c r="P18" s="10"/>
      <c r="Q18" s="16" t="s">
        <v>22</v>
      </c>
      <c r="R18" s="55"/>
      <c r="S18" s="55"/>
      <c r="T18" s="55"/>
      <c r="U18" s="55"/>
      <c r="V18" s="55"/>
      <c r="W18" s="55"/>
      <c r="X18" s="55"/>
      <c r="Y18" s="55"/>
      <c r="Z18" s="55"/>
      <c r="AA18" s="17"/>
      <c r="AB18" s="17">
        <f>_xlfn.STDEV.S(AB5:AB16)</f>
        <v>4.4205957366249411</v>
      </c>
      <c r="AC18" s="1"/>
      <c r="AD18" s="9"/>
      <c r="AE18" s="9"/>
      <c r="AF18" s="45"/>
      <c r="AG18" s="45"/>
      <c r="AH18" s="45"/>
    </row>
    <row r="19" spans="2:36" x14ac:dyDescent="0.25">
      <c r="B19" s="4" t="s">
        <v>4</v>
      </c>
      <c r="C19" s="5" t="s">
        <v>262</v>
      </c>
      <c r="D19" s="46" t="s">
        <v>137</v>
      </c>
      <c r="E19" s="46" t="s">
        <v>138</v>
      </c>
      <c r="F19" s="46" t="s">
        <v>139</v>
      </c>
      <c r="G19" s="5" t="s">
        <v>140</v>
      </c>
      <c r="H19" s="46" t="s">
        <v>140</v>
      </c>
      <c r="I19" s="46" t="s">
        <v>140</v>
      </c>
      <c r="J19" s="5" t="s">
        <v>139</v>
      </c>
      <c r="K19" s="5" t="s">
        <v>138</v>
      </c>
      <c r="L19" s="5" t="s">
        <v>141</v>
      </c>
      <c r="M19" s="40" t="s">
        <v>142</v>
      </c>
      <c r="N19" s="40" t="s">
        <v>205</v>
      </c>
      <c r="O19" s="1"/>
      <c r="P19" s="4" t="s">
        <v>25</v>
      </c>
      <c r="Q19" s="5" t="s">
        <v>262</v>
      </c>
      <c r="R19" s="46" t="s">
        <v>137</v>
      </c>
      <c r="S19" s="46" t="s">
        <v>138</v>
      </c>
      <c r="T19" s="46" t="s">
        <v>139</v>
      </c>
      <c r="U19" s="5" t="s">
        <v>140</v>
      </c>
      <c r="V19" s="46" t="s">
        <v>140</v>
      </c>
      <c r="W19" s="46" t="s">
        <v>140</v>
      </c>
      <c r="X19" s="5" t="s">
        <v>139</v>
      </c>
      <c r="Y19" s="5" t="s">
        <v>138</v>
      </c>
      <c r="Z19" s="5" t="s">
        <v>141</v>
      </c>
      <c r="AA19" s="40" t="s">
        <v>142</v>
      </c>
      <c r="AB19" s="40" t="s">
        <v>205</v>
      </c>
      <c r="AC19" s="1"/>
      <c r="AD19" s="9"/>
      <c r="AE19" s="9"/>
      <c r="AF19" s="45"/>
      <c r="AG19" s="45"/>
      <c r="AH19" s="45"/>
    </row>
    <row r="20" spans="2:36" ht="14.45" customHeight="1" x14ac:dyDescent="0.25">
      <c r="B20" s="43" t="s">
        <v>153</v>
      </c>
      <c r="C20" s="22" t="s">
        <v>5</v>
      </c>
      <c r="D20" s="22">
        <v>45</v>
      </c>
      <c r="E20" s="22">
        <v>17</v>
      </c>
      <c r="F20" s="22">
        <v>4</v>
      </c>
      <c r="G20" s="22">
        <v>0</v>
      </c>
      <c r="H20" s="22">
        <v>0</v>
      </c>
      <c r="I20" s="22">
        <v>1</v>
      </c>
      <c r="J20" s="22">
        <v>10</v>
      </c>
      <c r="K20" s="22">
        <v>21</v>
      </c>
      <c r="L20" s="22">
        <v>34</v>
      </c>
      <c r="M20" s="14">
        <v>132</v>
      </c>
      <c r="N20" s="14">
        <f>AVERAGE(M20:M21)</f>
        <v>138</v>
      </c>
      <c r="O20" s="1"/>
      <c r="P20" s="43" t="s">
        <v>153</v>
      </c>
      <c r="Q20" s="22" t="s">
        <v>5</v>
      </c>
      <c r="R20" s="22">
        <v>33</v>
      </c>
      <c r="S20" s="22">
        <v>5</v>
      </c>
      <c r="T20" s="22">
        <v>2</v>
      </c>
      <c r="U20" s="22">
        <v>0</v>
      </c>
      <c r="V20" s="22">
        <v>0</v>
      </c>
      <c r="W20" s="22">
        <v>0</v>
      </c>
      <c r="X20" s="22">
        <v>2</v>
      </c>
      <c r="Y20" s="22">
        <v>9</v>
      </c>
      <c r="Z20" s="22">
        <v>22</v>
      </c>
      <c r="AA20" s="14">
        <v>73</v>
      </c>
      <c r="AB20" s="14">
        <f>AVERAGE(AA20:AA21)</f>
        <v>90</v>
      </c>
      <c r="AC20" s="1"/>
      <c r="AD20" s="1"/>
      <c r="AE20" s="1"/>
    </row>
    <row r="21" spans="2:36" x14ac:dyDescent="0.25">
      <c r="B21" s="10"/>
      <c r="C21" s="11"/>
      <c r="D21" s="11">
        <v>40</v>
      </c>
      <c r="E21" s="11">
        <v>22</v>
      </c>
      <c r="F21" s="11">
        <v>3</v>
      </c>
      <c r="G21" s="11">
        <v>0</v>
      </c>
      <c r="H21" s="11">
        <v>0</v>
      </c>
      <c r="I21" s="11">
        <v>0</v>
      </c>
      <c r="J21" s="11">
        <v>9</v>
      </c>
      <c r="K21" s="11">
        <v>21</v>
      </c>
      <c r="L21" s="11">
        <v>49</v>
      </c>
      <c r="M21" s="12">
        <v>144</v>
      </c>
      <c r="N21" s="12"/>
      <c r="O21" s="1"/>
      <c r="P21" s="10"/>
      <c r="Q21" s="11"/>
      <c r="R21" s="11">
        <v>31</v>
      </c>
      <c r="S21" s="11">
        <v>21</v>
      </c>
      <c r="T21" s="11">
        <v>3</v>
      </c>
      <c r="U21" s="11">
        <v>0</v>
      </c>
      <c r="V21" s="11">
        <v>0</v>
      </c>
      <c r="W21" s="11">
        <v>0</v>
      </c>
      <c r="X21" s="11">
        <v>5</v>
      </c>
      <c r="Y21" s="11">
        <v>14</v>
      </c>
      <c r="Z21" s="11">
        <v>33</v>
      </c>
      <c r="AA21" s="12">
        <v>107</v>
      </c>
      <c r="AB21" s="12"/>
      <c r="AC21" s="1"/>
    </row>
    <row r="22" spans="2:36" x14ac:dyDescent="0.25">
      <c r="B22" s="10"/>
      <c r="C22" s="11" t="s">
        <v>6</v>
      </c>
      <c r="D22" s="11">
        <v>54</v>
      </c>
      <c r="E22" s="11">
        <v>16</v>
      </c>
      <c r="F22" s="11">
        <v>3</v>
      </c>
      <c r="G22" s="11">
        <v>0</v>
      </c>
      <c r="H22" s="11">
        <v>0</v>
      </c>
      <c r="I22" s="11">
        <v>0</v>
      </c>
      <c r="J22" s="11">
        <v>3</v>
      </c>
      <c r="K22" s="11">
        <v>24</v>
      </c>
      <c r="L22" s="11">
        <v>42</v>
      </c>
      <c r="M22" s="12">
        <v>142</v>
      </c>
      <c r="N22" s="12">
        <f>AVERAGE(M22:M23)</f>
        <v>135</v>
      </c>
      <c r="O22" s="1"/>
      <c r="P22" s="10"/>
      <c r="Q22" s="11" t="s">
        <v>6</v>
      </c>
      <c r="R22" s="11">
        <v>16</v>
      </c>
      <c r="S22" s="11">
        <v>25</v>
      </c>
      <c r="T22" s="11">
        <v>6</v>
      </c>
      <c r="U22" s="11">
        <v>0</v>
      </c>
      <c r="V22" s="11">
        <v>0</v>
      </c>
      <c r="W22" s="11">
        <v>0</v>
      </c>
      <c r="X22" s="11">
        <v>2</v>
      </c>
      <c r="Y22" s="11">
        <v>13</v>
      </c>
      <c r="Z22" s="11">
        <v>27</v>
      </c>
      <c r="AA22" s="12">
        <v>89</v>
      </c>
      <c r="AB22" s="12">
        <f>AVERAGE(AA22:AA23)</f>
        <v>81.5</v>
      </c>
      <c r="AC22" s="1"/>
    </row>
    <row r="23" spans="2:36" x14ac:dyDescent="0.25">
      <c r="B23" s="10"/>
      <c r="C23" s="11"/>
      <c r="D23" s="11">
        <v>41</v>
      </c>
      <c r="E23" s="11">
        <v>24</v>
      </c>
      <c r="F23" s="11">
        <v>4</v>
      </c>
      <c r="G23" s="11">
        <v>0</v>
      </c>
      <c r="H23" s="11">
        <v>0</v>
      </c>
      <c r="I23" s="11">
        <v>0</v>
      </c>
      <c r="J23" s="11">
        <v>4</v>
      </c>
      <c r="K23" s="11">
        <v>18</v>
      </c>
      <c r="L23" s="11">
        <v>37</v>
      </c>
      <c r="M23" s="12">
        <v>128</v>
      </c>
      <c r="N23" s="12"/>
      <c r="O23" s="1"/>
      <c r="P23" s="10"/>
      <c r="Q23" s="11"/>
      <c r="R23" s="11">
        <v>13</v>
      </c>
      <c r="S23" s="11">
        <v>11</v>
      </c>
      <c r="T23" s="11">
        <v>4</v>
      </c>
      <c r="U23" s="11">
        <v>0</v>
      </c>
      <c r="V23" s="11">
        <v>0</v>
      </c>
      <c r="W23" s="11">
        <v>0</v>
      </c>
      <c r="X23" s="11">
        <v>2</v>
      </c>
      <c r="Y23" s="11">
        <v>15</v>
      </c>
      <c r="Z23" s="11">
        <v>29</v>
      </c>
      <c r="AA23" s="12">
        <v>74</v>
      </c>
      <c r="AB23" s="12"/>
      <c r="AC23" s="1"/>
    </row>
    <row r="24" spans="2:36" x14ac:dyDescent="0.25">
      <c r="B24" s="10"/>
      <c r="C24" s="11" t="s">
        <v>7</v>
      </c>
      <c r="D24" s="11">
        <v>50</v>
      </c>
      <c r="E24" s="11">
        <v>17</v>
      </c>
      <c r="F24" s="11">
        <v>1</v>
      </c>
      <c r="G24" s="11">
        <v>0</v>
      </c>
      <c r="H24" s="11">
        <v>0</v>
      </c>
      <c r="I24" s="11">
        <v>0</v>
      </c>
      <c r="J24" s="11">
        <v>7</v>
      </c>
      <c r="K24" s="11">
        <v>24</v>
      </c>
      <c r="L24" s="11">
        <v>46</v>
      </c>
      <c r="M24" s="12">
        <v>145</v>
      </c>
      <c r="N24" s="12">
        <f>AVERAGE(M24:M25)</f>
        <v>138</v>
      </c>
      <c r="O24" s="1"/>
      <c r="P24" s="10"/>
      <c r="Q24" s="11" t="s">
        <v>7</v>
      </c>
      <c r="R24" s="11">
        <v>21</v>
      </c>
      <c r="S24" s="11">
        <v>3</v>
      </c>
      <c r="T24" s="11">
        <v>0</v>
      </c>
      <c r="U24" s="11">
        <v>0</v>
      </c>
      <c r="V24" s="11">
        <v>0</v>
      </c>
      <c r="W24" s="11">
        <v>0</v>
      </c>
      <c r="X24" s="11">
        <v>4</v>
      </c>
      <c r="Y24" s="11">
        <v>17</v>
      </c>
      <c r="Z24" s="11">
        <v>18</v>
      </c>
      <c r="AA24" s="12">
        <v>63</v>
      </c>
      <c r="AB24" s="12">
        <f>AVERAGE(AA24:AA25)</f>
        <v>73</v>
      </c>
      <c r="AC24" s="1"/>
    </row>
    <row r="25" spans="2:36" x14ac:dyDescent="0.25">
      <c r="B25" s="10"/>
      <c r="C25" s="11"/>
      <c r="D25" s="11">
        <v>40</v>
      </c>
      <c r="E25" s="11">
        <v>27</v>
      </c>
      <c r="F25" s="11">
        <v>2</v>
      </c>
      <c r="G25" s="11">
        <v>0</v>
      </c>
      <c r="H25" s="11">
        <v>0</v>
      </c>
      <c r="I25" s="11">
        <v>0</v>
      </c>
      <c r="J25" s="11">
        <v>1</v>
      </c>
      <c r="K25" s="11">
        <v>14</v>
      </c>
      <c r="L25" s="11">
        <v>47</v>
      </c>
      <c r="M25" s="12">
        <v>131</v>
      </c>
      <c r="N25" s="12"/>
      <c r="O25" s="1"/>
      <c r="P25" s="10"/>
      <c r="Q25" s="11"/>
      <c r="R25" s="11">
        <v>31</v>
      </c>
      <c r="S25" s="11">
        <v>8</v>
      </c>
      <c r="T25" s="11">
        <v>0</v>
      </c>
      <c r="U25" s="11">
        <v>0</v>
      </c>
      <c r="V25" s="11">
        <v>0</v>
      </c>
      <c r="W25" s="11">
        <v>0</v>
      </c>
      <c r="X25" s="11">
        <v>3</v>
      </c>
      <c r="Y25" s="11">
        <v>19</v>
      </c>
      <c r="Z25" s="11">
        <v>22</v>
      </c>
      <c r="AA25" s="12">
        <v>83</v>
      </c>
      <c r="AB25" s="12"/>
      <c r="AC25" s="1"/>
    </row>
    <row r="26" spans="2:36" x14ac:dyDescent="0.25">
      <c r="B26" s="10"/>
      <c r="C26" s="11" t="s">
        <v>8</v>
      </c>
      <c r="D26" s="11">
        <v>39</v>
      </c>
      <c r="E26" s="11">
        <v>15</v>
      </c>
      <c r="F26" s="11">
        <v>4</v>
      </c>
      <c r="G26" s="11">
        <v>1</v>
      </c>
      <c r="H26" s="11">
        <v>0</v>
      </c>
      <c r="I26" s="11">
        <v>0</v>
      </c>
      <c r="J26" s="11">
        <v>3</v>
      </c>
      <c r="K26" s="11">
        <v>22</v>
      </c>
      <c r="L26" s="11">
        <v>48</v>
      </c>
      <c r="M26" s="12">
        <v>132</v>
      </c>
      <c r="N26" s="12">
        <f>AVERAGE(M26:M27)</f>
        <v>137</v>
      </c>
      <c r="O26" s="1"/>
      <c r="P26" s="10"/>
      <c r="Q26" s="11" t="s">
        <v>8</v>
      </c>
      <c r="R26" s="11">
        <v>19</v>
      </c>
      <c r="S26" s="11">
        <v>21</v>
      </c>
      <c r="T26" s="11">
        <v>7</v>
      </c>
      <c r="U26" s="11">
        <v>0</v>
      </c>
      <c r="V26" s="11">
        <v>0</v>
      </c>
      <c r="W26" s="11">
        <v>0</v>
      </c>
      <c r="X26" s="11">
        <v>2</v>
      </c>
      <c r="Y26" s="11">
        <v>13</v>
      </c>
      <c r="Z26" s="11">
        <v>22</v>
      </c>
      <c r="AA26" s="12">
        <v>84</v>
      </c>
      <c r="AB26" s="12">
        <f>AVERAGE(AA26:AA27)</f>
        <v>74</v>
      </c>
      <c r="AC26" s="1"/>
      <c r="AD26" s="1"/>
      <c r="AE26" s="1"/>
    </row>
    <row r="27" spans="2:36" x14ac:dyDescent="0.25">
      <c r="B27" s="10"/>
      <c r="C27" s="11"/>
      <c r="D27" s="11">
        <v>46</v>
      </c>
      <c r="E27" s="11">
        <v>22</v>
      </c>
      <c r="F27" s="11">
        <v>2</v>
      </c>
      <c r="G27" s="11">
        <v>0</v>
      </c>
      <c r="H27" s="11">
        <v>0</v>
      </c>
      <c r="I27" s="11">
        <v>0</v>
      </c>
      <c r="J27" s="11">
        <v>7</v>
      </c>
      <c r="K27" s="11">
        <v>25</v>
      </c>
      <c r="L27" s="11">
        <v>40</v>
      </c>
      <c r="M27" s="12">
        <v>142</v>
      </c>
      <c r="N27" s="12"/>
      <c r="O27" s="1"/>
      <c r="P27" s="10"/>
      <c r="Q27" s="11"/>
      <c r="R27" s="11">
        <v>16</v>
      </c>
      <c r="S27" s="11">
        <v>18</v>
      </c>
      <c r="T27" s="11">
        <v>5</v>
      </c>
      <c r="U27" s="11">
        <v>0</v>
      </c>
      <c r="V27" s="11">
        <v>0</v>
      </c>
      <c r="W27" s="11">
        <v>0</v>
      </c>
      <c r="X27" s="11">
        <v>2</v>
      </c>
      <c r="Y27" s="11">
        <v>8</v>
      </c>
      <c r="Z27" s="11">
        <v>15</v>
      </c>
      <c r="AA27" s="12">
        <v>64</v>
      </c>
      <c r="AB27" s="12"/>
      <c r="AC27" s="1"/>
      <c r="AD27" s="9"/>
      <c r="AE27" s="9"/>
      <c r="AF27" s="45"/>
      <c r="AG27" s="45"/>
      <c r="AH27" s="45"/>
      <c r="AI27" s="45"/>
      <c r="AJ27" s="45"/>
    </row>
    <row r="28" spans="2:36" x14ac:dyDescent="0.25">
      <c r="B28" s="10"/>
      <c r="C28" s="11" t="s">
        <v>14</v>
      </c>
      <c r="D28" s="11">
        <v>52</v>
      </c>
      <c r="E28" s="11">
        <v>18</v>
      </c>
      <c r="F28" s="11">
        <v>4</v>
      </c>
      <c r="G28" s="11">
        <v>0</v>
      </c>
      <c r="H28" s="11">
        <v>0</v>
      </c>
      <c r="I28" s="11">
        <v>0</v>
      </c>
      <c r="J28" s="11">
        <v>2</v>
      </c>
      <c r="K28" s="11">
        <v>22</v>
      </c>
      <c r="L28" s="11">
        <v>53</v>
      </c>
      <c r="M28" s="12">
        <v>151</v>
      </c>
      <c r="N28" s="12">
        <f>AVERAGE(M28:M29)</f>
        <v>147</v>
      </c>
      <c r="O28" s="1"/>
      <c r="P28" s="10"/>
      <c r="Q28" s="11" t="s">
        <v>14</v>
      </c>
      <c r="R28" s="11">
        <v>18</v>
      </c>
      <c r="S28" s="11">
        <v>5</v>
      </c>
      <c r="T28" s="11">
        <v>0</v>
      </c>
      <c r="U28" s="11">
        <v>0</v>
      </c>
      <c r="V28" s="11">
        <v>0</v>
      </c>
      <c r="W28" s="11">
        <v>0</v>
      </c>
      <c r="X28" s="11">
        <v>4</v>
      </c>
      <c r="Y28" s="11">
        <v>19</v>
      </c>
      <c r="Z28" s="11">
        <v>21</v>
      </c>
      <c r="AA28" s="12">
        <v>67</v>
      </c>
      <c r="AB28" s="12">
        <f>AVERAGE(AA28:AA29)</f>
        <v>65</v>
      </c>
      <c r="AC28" s="1"/>
      <c r="AD28" s="9"/>
      <c r="AE28" s="9"/>
      <c r="AF28" s="45"/>
      <c r="AG28" s="45"/>
      <c r="AH28" s="45"/>
      <c r="AI28" s="45"/>
      <c r="AJ28" s="45"/>
    </row>
    <row r="29" spans="2:36" x14ac:dyDescent="0.25">
      <c r="B29" s="10"/>
      <c r="C29" s="11"/>
      <c r="D29" s="11">
        <v>50</v>
      </c>
      <c r="E29" s="11">
        <v>18</v>
      </c>
      <c r="F29" s="11">
        <v>6</v>
      </c>
      <c r="G29" s="11">
        <v>1</v>
      </c>
      <c r="H29" s="11">
        <v>0</v>
      </c>
      <c r="I29" s="11">
        <v>0</v>
      </c>
      <c r="J29" s="11">
        <v>4</v>
      </c>
      <c r="K29" s="11">
        <v>20</v>
      </c>
      <c r="L29" s="11">
        <v>44</v>
      </c>
      <c r="M29" s="12">
        <v>143</v>
      </c>
      <c r="N29" s="12"/>
      <c r="O29" s="1"/>
      <c r="P29" s="10"/>
      <c r="Q29" s="11"/>
      <c r="R29" s="11">
        <v>18</v>
      </c>
      <c r="S29" s="11">
        <v>4</v>
      </c>
      <c r="T29" s="11">
        <v>0</v>
      </c>
      <c r="U29" s="11">
        <v>0</v>
      </c>
      <c r="V29" s="11">
        <v>0</v>
      </c>
      <c r="W29" s="11">
        <v>0</v>
      </c>
      <c r="X29" s="11">
        <v>2</v>
      </c>
      <c r="Y29" s="11">
        <v>14</v>
      </c>
      <c r="Z29" s="11">
        <v>25</v>
      </c>
      <c r="AA29" s="12">
        <v>63</v>
      </c>
      <c r="AB29" s="12"/>
      <c r="AC29" s="1"/>
      <c r="AD29" s="9"/>
      <c r="AE29" s="9"/>
      <c r="AF29" s="45"/>
      <c r="AG29" s="45"/>
      <c r="AH29" s="45"/>
      <c r="AI29" s="45"/>
      <c r="AJ29" s="45"/>
    </row>
    <row r="30" spans="2:36" x14ac:dyDescent="0.25">
      <c r="B30" s="10"/>
      <c r="C30" s="11" t="s">
        <v>15</v>
      </c>
      <c r="D30" s="11">
        <v>48</v>
      </c>
      <c r="E30" s="11">
        <v>16</v>
      </c>
      <c r="F30" s="11">
        <v>5</v>
      </c>
      <c r="G30" s="11">
        <v>0</v>
      </c>
      <c r="H30" s="11">
        <v>0</v>
      </c>
      <c r="I30" s="11">
        <v>0</v>
      </c>
      <c r="J30" s="11">
        <v>2</v>
      </c>
      <c r="K30" s="11">
        <v>19</v>
      </c>
      <c r="L30" s="11">
        <v>39</v>
      </c>
      <c r="M30" s="12">
        <v>129</v>
      </c>
      <c r="N30" s="12">
        <f>AVERAGE(M30:M31)</f>
        <v>137.5</v>
      </c>
      <c r="O30" s="1"/>
      <c r="P30" s="10"/>
      <c r="Q30" s="11" t="s">
        <v>15</v>
      </c>
      <c r="R30" s="11">
        <v>16</v>
      </c>
      <c r="S30" s="11">
        <v>15</v>
      </c>
      <c r="T30" s="11">
        <v>6</v>
      </c>
      <c r="U30" s="11">
        <v>0</v>
      </c>
      <c r="V30" s="11">
        <v>0</v>
      </c>
      <c r="W30" s="11">
        <v>0</v>
      </c>
      <c r="X30" s="11">
        <v>3</v>
      </c>
      <c r="Y30" s="11">
        <v>10</v>
      </c>
      <c r="Z30" s="11">
        <v>22</v>
      </c>
      <c r="AA30" s="12">
        <v>72</v>
      </c>
      <c r="AB30" s="12">
        <f>AVERAGE(AA30:AA31)</f>
        <v>80</v>
      </c>
      <c r="AC30" s="1"/>
      <c r="AD30" s="9"/>
      <c r="AE30" s="9"/>
      <c r="AF30" s="45"/>
      <c r="AG30" s="45"/>
      <c r="AH30" s="45"/>
      <c r="AI30" s="45"/>
      <c r="AJ30" s="45"/>
    </row>
    <row r="31" spans="2:36" x14ac:dyDescent="0.25">
      <c r="B31" s="10"/>
      <c r="C31" s="11"/>
      <c r="D31" s="11">
        <v>44</v>
      </c>
      <c r="E31" s="11">
        <v>19</v>
      </c>
      <c r="F31" s="11">
        <v>5</v>
      </c>
      <c r="G31" s="11">
        <v>1</v>
      </c>
      <c r="H31" s="11">
        <v>0</v>
      </c>
      <c r="I31" s="11">
        <v>0</v>
      </c>
      <c r="J31" s="11">
        <v>5</v>
      </c>
      <c r="K31" s="11">
        <v>22</v>
      </c>
      <c r="L31" s="11">
        <v>50</v>
      </c>
      <c r="M31" s="12">
        <v>146</v>
      </c>
      <c r="N31" s="12"/>
      <c r="O31" s="1"/>
      <c r="P31" s="10"/>
      <c r="Q31" s="11"/>
      <c r="R31" s="11">
        <v>25</v>
      </c>
      <c r="S31" s="11">
        <v>20</v>
      </c>
      <c r="T31" s="11">
        <v>9</v>
      </c>
      <c r="U31" s="11">
        <v>0</v>
      </c>
      <c r="V31" s="11">
        <v>0</v>
      </c>
      <c r="W31" s="11">
        <v>0</v>
      </c>
      <c r="X31" s="11">
        <v>2</v>
      </c>
      <c r="Y31" s="11">
        <v>6</v>
      </c>
      <c r="Z31" s="11">
        <v>26</v>
      </c>
      <c r="AA31" s="12">
        <v>88</v>
      </c>
      <c r="AB31" s="12"/>
      <c r="AC31" s="1"/>
      <c r="AD31" s="9"/>
      <c r="AE31" s="9"/>
      <c r="AF31" s="45"/>
      <c r="AG31" s="45"/>
      <c r="AH31" s="45"/>
      <c r="AI31" s="45"/>
      <c r="AJ31" s="45"/>
    </row>
    <row r="32" spans="2:36" x14ac:dyDescent="0.25">
      <c r="B32" s="10"/>
      <c r="C32" s="16" t="s">
        <v>56</v>
      </c>
      <c r="D32" s="55"/>
      <c r="E32" s="55"/>
      <c r="F32" s="55"/>
      <c r="G32" s="55"/>
      <c r="H32" s="55"/>
      <c r="I32" s="55"/>
      <c r="J32" s="55"/>
      <c r="K32" s="55"/>
      <c r="L32" s="55"/>
      <c r="M32" s="17"/>
      <c r="N32" s="17">
        <f>AVERAGE(N20:N31)</f>
        <v>138.75</v>
      </c>
      <c r="O32" s="1"/>
      <c r="P32" s="10"/>
      <c r="Q32" s="16" t="s">
        <v>56</v>
      </c>
      <c r="R32" s="55"/>
      <c r="S32" s="55"/>
      <c r="T32" s="55"/>
      <c r="U32" s="55"/>
      <c r="V32" s="55"/>
      <c r="W32" s="55"/>
      <c r="X32" s="55"/>
      <c r="Y32" s="55"/>
      <c r="Z32" s="55"/>
      <c r="AA32" s="17"/>
      <c r="AB32" s="17">
        <f>AVERAGE(AB20:AB31)</f>
        <v>77.25</v>
      </c>
      <c r="AC32" s="1"/>
      <c r="AD32" s="9"/>
      <c r="AE32" s="9"/>
      <c r="AF32" s="45"/>
      <c r="AG32" s="45"/>
      <c r="AH32" s="45"/>
      <c r="AI32" s="45"/>
      <c r="AJ32" s="45"/>
    </row>
    <row r="33" spans="2:36" x14ac:dyDescent="0.25">
      <c r="B33" s="10"/>
      <c r="C33" s="16" t="s">
        <v>22</v>
      </c>
      <c r="D33" s="55"/>
      <c r="E33" s="55"/>
      <c r="F33" s="55"/>
      <c r="G33" s="55"/>
      <c r="H33" s="55"/>
      <c r="I33" s="55"/>
      <c r="J33" s="55"/>
      <c r="K33" s="55"/>
      <c r="L33" s="55"/>
      <c r="M33" s="17"/>
      <c r="N33" s="17">
        <f>_xlfn.STDEV.S(N20:N31)</f>
        <v>4.1922547632509168</v>
      </c>
      <c r="O33" s="1"/>
      <c r="P33" s="10"/>
      <c r="Q33" s="16" t="s">
        <v>22</v>
      </c>
      <c r="R33" s="55"/>
      <c r="S33" s="55"/>
      <c r="T33" s="55"/>
      <c r="U33" s="55"/>
      <c r="V33" s="55"/>
      <c r="W33" s="55"/>
      <c r="X33" s="55"/>
      <c r="Y33" s="55"/>
      <c r="Z33" s="55"/>
      <c r="AA33" s="17"/>
      <c r="AB33" s="17">
        <f>_xlfn.STDEV.S(AB20:AB31)</f>
        <v>8.5659208495059076</v>
      </c>
      <c r="AC33" s="1"/>
      <c r="AD33" s="9"/>
      <c r="AE33" s="9"/>
      <c r="AF33" s="45"/>
      <c r="AG33" s="45"/>
      <c r="AH33" s="45"/>
      <c r="AI33" s="45"/>
      <c r="AJ33" s="45"/>
    </row>
    <row r="34" spans="2:36" x14ac:dyDescent="0.25">
      <c r="B34" s="4" t="s">
        <v>4</v>
      </c>
      <c r="C34" s="5" t="s">
        <v>262</v>
      </c>
      <c r="D34" s="46" t="s">
        <v>137</v>
      </c>
      <c r="E34" s="46" t="s">
        <v>138</v>
      </c>
      <c r="F34" s="46" t="s">
        <v>139</v>
      </c>
      <c r="G34" s="5" t="s">
        <v>140</v>
      </c>
      <c r="H34" s="46" t="s">
        <v>140</v>
      </c>
      <c r="I34" s="46" t="s">
        <v>140</v>
      </c>
      <c r="J34" s="5" t="s">
        <v>139</v>
      </c>
      <c r="K34" s="5" t="s">
        <v>138</v>
      </c>
      <c r="L34" s="5" t="s">
        <v>141</v>
      </c>
      <c r="M34" s="40" t="s">
        <v>142</v>
      </c>
      <c r="N34" s="40" t="s">
        <v>205</v>
      </c>
      <c r="O34" s="1"/>
      <c r="P34" s="4" t="s">
        <v>25</v>
      </c>
      <c r="Q34" s="5" t="s">
        <v>262</v>
      </c>
      <c r="R34" s="46" t="s">
        <v>137</v>
      </c>
      <c r="S34" s="46" t="s">
        <v>138</v>
      </c>
      <c r="T34" s="46" t="s">
        <v>139</v>
      </c>
      <c r="U34" s="5" t="s">
        <v>140</v>
      </c>
      <c r="V34" s="46" t="s">
        <v>140</v>
      </c>
      <c r="W34" s="46" t="s">
        <v>140</v>
      </c>
      <c r="X34" s="5" t="s">
        <v>139</v>
      </c>
      <c r="Y34" s="5" t="s">
        <v>138</v>
      </c>
      <c r="Z34" s="5" t="s">
        <v>141</v>
      </c>
      <c r="AA34" s="40" t="s">
        <v>142</v>
      </c>
      <c r="AB34" s="40" t="s">
        <v>205</v>
      </c>
      <c r="AC34" s="1"/>
      <c r="AD34" s="9"/>
      <c r="AE34" s="9"/>
      <c r="AF34" s="45"/>
      <c r="AG34" s="45"/>
      <c r="AH34" s="45"/>
      <c r="AI34" s="45"/>
      <c r="AJ34" s="45"/>
    </row>
    <row r="35" spans="2:36" ht="14.1" customHeight="1" x14ac:dyDescent="0.25">
      <c r="B35" s="43" t="s">
        <v>157</v>
      </c>
      <c r="C35" s="22" t="s">
        <v>5</v>
      </c>
      <c r="D35" s="22">
        <v>56</v>
      </c>
      <c r="E35" s="22">
        <v>26</v>
      </c>
      <c r="F35" s="22">
        <v>3</v>
      </c>
      <c r="G35" s="22">
        <v>1</v>
      </c>
      <c r="H35" s="22">
        <v>0</v>
      </c>
      <c r="I35" s="22">
        <v>0</v>
      </c>
      <c r="J35" s="22">
        <v>3</v>
      </c>
      <c r="K35" s="22">
        <v>24</v>
      </c>
      <c r="L35" s="22">
        <v>39</v>
      </c>
      <c r="M35" s="14">
        <v>152</v>
      </c>
      <c r="N35" s="14">
        <f>AVERAGE(M35:M36)</f>
        <v>146</v>
      </c>
      <c r="O35" s="1"/>
      <c r="P35" s="43" t="s">
        <v>157</v>
      </c>
      <c r="Q35" s="22" t="s">
        <v>5</v>
      </c>
      <c r="R35" s="22">
        <v>37</v>
      </c>
      <c r="S35" s="22">
        <v>16</v>
      </c>
      <c r="T35" s="22">
        <v>9</v>
      </c>
      <c r="U35" s="22">
        <v>2</v>
      </c>
      <c r="V35" s="22">
        <v>1</v>
      </c>
      <c r="W35" s="22">
        <v>0</v>
      </c>
      <c r="X35" s="22">
        <v>7</v>
      </c>
      <c r="Y35" s="22">
        <v>17</v>
      </c>
      <c r="Z35" s="22">
        <v>39</v>
      </c>
      <c r="AA35" s="14">
        <v>128</v>
      </c>
      <c r="AB35" s="14">
        <f>AVERAGE(AA35:AA36)</f>
        <v>123.5</v>
      </c>
      <c r="AC35" s="1"/>
      <c r="AD35" s="9"/>
      <c r="AE35" s="9"/>
      <c r="AF35" s="45"/>
      <c r="AG35" s="45"/>
      <c r="AH35" s="45"/>
      <c r="AI35" s="45"/>
      <c r="AJ35" s="45"/>
    </row>
    <row r="36" spans="2:36" x14ac:dyDescent="0.25">
      <c r="B36" s="10"/>
      <c r="C36" s="11"/>
      <c r="D36" s="11">
        <v>53</v>
      </c>
      <c r="E36" s="11">
        <v>20</v>
      </c>
      <c r="F36" s="11">
        <v>2</v>
      </c>
      <c r="G36" s="11">
        <v>0</v>
      </c>
      <c r="H36" s="11">
        <v>0</v>
      </c>
      <c r="I36" s="11">
        <v>4</v>
      </c>
      <c r="J36" s="11">
        <v>3</v>
      </c>
      <c r="K36" s="11">
        <v>30</v>
      </c>
      <c r="L36" s="11">
        <v>28</v>
      </c>
      <c r="M36" s="12">
        <v>140</v>
      </c>
      <c r="N36" s="12"/>
      <c r="O36" s="1"/>
      <c r="P36" s="10"/>
      <c r="Q36" s="11"/>
      <c r="R36" s="11">
        <v>36</v>
      </c>
      <c r="S36" s="11">
        <v>14</v>
      </c>
      <c r="T36" s="11">
        <v>7</v>
      </c>
      <c r="U36" s="11">
        <v>1</v>
      </c>
      <c r="V36" s="11">
        <v>0</v>
      </c>
      <c r="W36" s="11">
        <v>0</v>
      </c>
      <c r="X36" s="11">
        <v>8</v>
      </c>
      <c r="Y36" s="11">
        <v>15</v>
      </c>
      <c r="Z36" s="11">
        <v>38</v>
      </c>
      <c r="AA36" s="12">
        <v>119</v>
      </c>
      <c r="AB36" s="12"/>
      <c r="AC36" s="1"/>
      <c r="AD36" s="9"/>
      <c r="AE36" s="9"/>
      <c r="AF36" s="45"/>
      <c r="AG36" s="45"/>
      <c r="AH36" s="45"/>
      <c r="AI36" s="45"/>
      <c r="AJ36" s="45"/>
    </row>
    <row r="37" spans="2:36" x14ac:dyDescent="0.25">
      <c r="B37" s="10"/>
      <c r="C37" s="11" t="s">
        <v>6</v>
      </c>
      <c r="D37" s="11">
        <v>34</v>
      </c>
      <c r="E37" s="11">
        <v>21</v>
      </c>
      <c r="F37" s="11">
        <v>2</v>
      </c>
      <c r="G37" s="11">
        <v>0</v>
      </c>
      <c r="H37" s="11">
        <v>0</v>
      </c>
      <c r="I37" s="11">
        <v>0</v>
      </c>
      <c r="J37" s="11">
        <v>2</v>
      </c>
      <c r="K37" s="11">
        <v>24</v>
      </c>
      <c r="L37" s="11">
        <v>45</v>
      </c>
      <c r="M37" s="12">
        <v>128</v>
      </c>
      <c r="N37" s="12">
        <f>AVERAGE(M37:M38)</f>
        <v>129.5</v>
      </c>
      <c r="O37" s="1"/>
      <c r="P37" s="10"/>
      <c r="Q37" s="11" t="s">
        <v>6</v>
      </c>
      <c r="R37" s="11">
        <v>54</v>
      </c>
      <c r="S37" s="11">
        <v>18</v>
      </c>
      <c r="T37" s="11">
        <v>11</v>
      </c>
      <c r="U37" s="11">
        <v>1</v>
      </c>
      <c r="V37" s="11">
        <v>0</v>
      </c>
      <c r="W37" s="11">
        <v>0</v>
      </c>
      <c r="X37" s="11">
        <v>7</v>
      </c>
      <c r="Y37" s="11">
        <v>16</v>
      </c>
      <c r="Z37" s="11">
        <v>30</v>
      </c>
      <c r="AA37" s="12">
        <v>137</v>
      </c>
      <c r="AB37" s="12">
        <f>AVERAGE(AA37:AA38)</f>
        <v>133</v>
      </c>
      <c r="AC37" s="1"/>
      <c r="AD37" s="9"/>
      <c r="AE37" s="9"/>
      <c r="AF37" s="45"/>
      <c r="AG37" s="45"/>
      <c r="AH37" s="45"/>
      <c r="AI37" s="45"/>
      <c r="AJ37" s="45"/>
    </row>
    <row r="38" spans="2:36" x14ac:dyDescent="0.25">
      <c r="B38" s="10"/>
      <c r="C38" s="11"/>
      <c r="D38" s="11">
        <v>28</v>
      </c>
      <c r="E38" s="11">
        <v>21</v>
      </c>
      <c r="F38" s="11">
        <v>7</v>
      </c>
      <c r="G38" s="11">
        <v>1</v>
      </c>
      <c r="H38" s="11">
        <v>0</v>
      </c>
      <c r="I38" s="11">
        <v>1</v>
      </c>
      <c r="J38" s="11">
        <v>3</v>
      </c>
      <c r="K38" s="11">
        <v>27</v>
      </c>
      <c r="L38" s="11">
        <v>43</v>
      </c>
      <c r="M38" s="12">
        <v>131</v>
      </c>
      <c r="N38" s="12"/>
      <c r="O38" s="1"/>
      <c r="P38" s="10"/>
      <c r="Q38" s="11"/>
      <c r="R38" s="11">
        <v>42</v>
      </c>
      <c r="S38" s="11">
        <v>21</v>
      </c>
      <c r="T38" s="11">
        <v>10</v>
      </c>
      <c r="U38" s="11">
        <v>0</v>
      </c>
      <c r="V38" s="11">
        <v>0</v>
      </c>
      <c r="W38" s="11">
        <v>0</v>
      </c>
      <c r="X38" s="11">
        <v>7</v>
      </c>
      <c r="Y38" s="11">
        <v>17</v>
      </c>
      <c r="Z38" s="11">
        <v>32</v>
      </c>
      <c r="AA38" s="12">
        <v>129</v>
      </c>
      <c r="AB38" s="12"/>
      <c r="AC38" s="1"/>
      <c r="AD38" s="9"/>
      <c r="AE38" s="9"/>
      <c r="AF38" s="45"/>
      <c r="AG38" s="45"/>
      <c r="AH38" s="45"/>
      <c r="AI38" s="45"/>
      <c r="AJ38" s="45"/>
    </row>
    <row r="39" spans="2:36" x14ac:dyDescent="0.25">
      <c r="B39" s="10"/>
      <c r="C39" s="11" t="s">
        <v>7</v>
      </c>
      <c r="D39" s="11">
        <v>34</v>
      </c>
      <c r="E39" s="11">
        <v>24</v>
      </c>
      <c r="F39" s="11">
        <v>0</v>
      </c>
      <c r="G39" s="11">
        <v>2</v>
      </c>
      <c r="H39" s="11">
        <v>0</v>
      </c>
      <c r="I39" s="11">
        <v>0</v>
      </c>
      <c r="J39" s="11">
        <v>1</v>
      </c>
      <c r="K39" s="11">
        <v>24</v>
      </c>
      <c r="L39" s="11">
        <v>45</v>
      </c>
      <c r="M39" s="12">
        <v>130</v>
      </c>
      <c r="N39" s="12">
        <f>AVERAGE(M39:M40)</f>
        <v>136</v>
      </c>
      <c r="O39" s="1"/>
      <c r="P39" s="10"/>
      <c r="Q39" s="11" t="s">
        <v>7</v>
      </c>
      <c r="R39" s="11">
        <v>31</v>
      </c>
      <c r="S39" s="11">
        <v>17</v>
      </c>
      <c r="T39" s="11">
        <v>8</v>
      </c>
      <c r="U39" s="11">
        <v>0</v>
      </c>
      <c r="V39" s="11">
        <v>0</v>
      </c>
      <c r="W39" s="11">
        <v>0</v>
      </c>
      <c r="X39" s="11">
        <v>4</v>
      </c>
      <c r="Y39" s="11">
        <v>19</v>
      </c>
      <c r="Z39" s="11">
        <v>28</v>
      </c>
      <c r="AA39" s="12">
        <v>107</v>
      </c>
      <c r="AB39" s="12">
        <f>AVERAGE(AA39:AA40)</f>
        <v>103.5</v>
      </c>
      <c r="AC39" s="1"/>
      <c r="AD39" s="9"/>
      <c r="AE39" s="9"/>
      <c r="AF39" s="45"/>
      <c r="AG39" s="45"/>
      <c r="AH39" s="45"/>
      <c r="AI39" s="45"/>
      <c r="AJ39" s="45"/>
    </row>
    <row r="40" spans="2:36" ht="23.25" x14ac:dyDescent="0.35">
      <c r="B40" s="10"/>
      <c r="C40" s="11"/>
      <c r="D40" s="11">
        <v>41</v>
      </c>
      <c r="E40" s="11">
        <v>24</v>
      </c>
      <c r="F40" s="11">
        <v>0</v>
      </c>
      <c r="G40" s="11">
        <v>0</v>
      </c>
      <c r="H40" s="11">
        <v>0</v>
      </c>
      <c r="I40" s="11">
        <v>0</v>
      </c>
      <c r="J40" s="11">
        <v>2</v>
      </c>
      <c r="K40" s="11">
        <v>25</v>
      </c>
      <c r="L40" s="11">
        <v>50</v>
      </c>
      <c r="M40" s="12">
        <v>142</v>
      </c>
      <c r="N40" s="12"/>
      <c r="O40" s="1"/>
      <c r="P40" s="10"/>
      <c r="Q40" s="11"/>
      <c r="R40" s="11">
        <v>34</v>
      </c>
      <c r="S40" s="11">
        <v>12</v>
      </c>
      <c r="T40" s="11">
        <v>3</v>
      </c>
      <c r="U40" s="11">
        <v>0</v>
      </c>
      <c r="V40" s="11">
        <v>0</v>
      </c>
      <c r="W40" s="11">
        <v>0</v>
      </c>
      <c r="X40" s="11">
        <v>3</v>
      </c>
      <c r="Y40" s="11">
        <v>12</v>
      </c>
      <c r="Z40" s="11">
        <v>36</v>
      </c>
      <c r="AA40" s="12">
        <v>100</v>
      </c>
      <c r="AB40" s="12"/>
      <c r="AC40" s="1"/>
      <c r="AD40" s="113"/>
      <c r="AE40" s="114"/>
      <c r="AF40" s="115"/>
      <c r="AG40" s="115"/>
      <c r="AH40" s="115"/>
      <c r="AI40" s="115"/>
      <c r="AJ40" s="45"/>
    </row>
    <row r="41" spans="2:36" x14ac:dyDescent="0.25">
      <c r="B41" s="10"/>
      <c r="C41" s="11" t="s">
        <v>8</v>
      </c>
      <c r="D41" s="11">
        <v>48</v>
      </c>
      <c r="E41" s="11">
        <v>32</v>
      </c>
      <c r="F41" s="11">
        <v>8</v>
      </c>
      <c r="G41" s="11">
        <v>2</v>
      </c>
      <c r="H41" s="11">
        <v>0</v>
      </c>
      <c r="I41" s="11">
        <v>1</v>
      </c>
      <c r="J41" s="11">
        <v>0</v>
      </c>
      <c r="K41" s="11">
        <v>23</v>
      </c>
      <c r="L41" s="11">
        <v>40</v>
      </c>
      <c r="M41" s="12">
        <v>154</v>
      </c>
      <c r="N41" s="12">
        <f>AVERAGE(M41:M42)</f>
        <v>141</v>
      </c>
      <c r="O41" s="1"/>
      <c r="P41" s="10"/>
      <c r="Q41" s="11" t="s">
        <v>8</v>
      </c>
      <c r="R41" s="11">
        <v>36</v>
      </c>
      <c r="S41" s="11">
        <v>16</v>
      </c>
      <c r="T41" s="11">
        <v>10</v>
      </c>
      <c r="U41" s="11">
        <v>0</v>
      </c>
      <c r="V41" s="11">
        <v>0</v>
      </c>
      <c r="W41" s="11">
        <v>1</v>
      </c>
      <c r="X41" s="11">
        <v>2</v>
      </c>
      <c r="Y41" s="11">
        <v>15</v>
      </c>
      <c r="Z41" s="11">
        <v>33</v>
      </c>
      <c r="AA41" s="12">
        <v>113</v>
      </c>
      <c r="AB41" s="12">
        <f>AVERAGE(AA41:AA42)</f>
        <v>107</v>
      </c>
      <c r="AC41" s="1"/>
      <c r="AD41" s="9"/>
      <c r="AE41" s="9"/>
      <c r="AF41" s="45"/>
      <c r="AG41" s="45"/>
      <c r="AH41" s="45"/>
      <c r="AI41" s="45"/>
      <c r="AJ41" s="45"/>
    </row>
    <row r="42" spans="2:36" x14ac:dyDescent="0.25">
      <c r="B42" s="10"/>
      <c r="C42" s="11"/>
      <c r="D42" s="11">
        <v>36</v>
      </c>
      <c r="E42" s="11">
        <v>25</v>
      </c>
      <c r="F42" s="11">
        <v>2</v>
      </c>
      <c r="G42" s="11">
        <v>0</v>
      </c>
      <c r="H42" s="11">
        <v>0</v>
      </c>
      <c r="I42" s="11">
        <v>0</v>
      </c>
      <c r="J42" s="11">
        <v>2</v>
      </c>
      <c r="K42" s="11">
        <v>24</v>
      </c>
      <c r="L42" s="11">
        <v>39</v>
      </c>
      <c r="M42" s="12">
        <v>128</v>
      </c>
      <c r="N42" s="12"/>
      <c r="O42" s="1"/>
      <c r="P42" s="10"/>
      <c r="Q42" s="11"/>
      <c r="R42" s="11">
        <v>29</v>
      </c>
      <c r="S42" s="11">
        <v>19</v>
      </c>
      <c r="T42" s="11">
        <v>4</v>
      </c>
      <c r="U42" s="11">
        <v>0</v>
      </c>
      <c r="V42" s="11">
        <v>0</v>
      </c>
      <c r="W42" s="11">
        <v>0</v>
      </c>
      <c r="X42" s="11">
        <v>5</v>
      </c>
      <c r="Y42" s="11">
        <v>14</v>
      </c>
      <c r="Z42" s="11">
        <v>30</v>
      </c>
      <c r="AA42" s="12">
        <v>101</v>
      </c>
      <c r="AB42" s="12"/>
      <c r="AC42" s="1"/>
      <c r="AD42" s="1"/>
      <c r="AE42" s="1"/>
    </row>
    <row r="43" spans="2:36" ht="14.45" customHeight="1" x14ac:dyDescent="0.25">
      <c r="B43" s="10"/>
      <c r="C43" s="11" t="s">
        <v>14</v>
      </c>
      <c r="D43" s="11">
        <v>54</v>
      </c>
      <c r="E43" s="11">
        <v>30</v>
      </c>
      <c r="F43" s="11">
        <v>4</v>
      </c>
      <c r="G43" s="11">
        <v>1</v>
      </c>
      <c r="H43" s="11">
        <v>0</v>
      </c>
      <c r="I43" s="11">
        <v>1</v>
      </c>
      <c r="J43" s="11">
        <v>2</v>
      </c>
      <c r="K43" s="11">
        <v>30</v>
      </c>
      <c r="L43" s="11">
        <v>40</v>
      </c>
      <c r="M43" s="12">
        <v>162</v>
      </c>
      <c r="N43" s="12">
        <f>AVERAGE(M43:M44)</f>
        <v>148</v>
      </c>
      <c r="O43" s="1"/>
      <c r="P43" s="10"/>
      <c r="Q43" s="11" t="s">
        <v>14</v>
      </c>
      <c r="R43" s="11">
        <v>24</v>
      </c>
      <c r="S43" s="11">
        <v>29</v>
      </c>
      <c r="T43" s="11">
        <v>4</v>
      </c>
      <c r="U43" s="11">
        <v>0</v>
      </c>
      <c r="V43" s="11">
        <v>0</v>
      </c>
      <c r="W43" s="11">
        <v>0</v>
      </c>
      <c r="X43" s="11">
        <v>3</v>
      </c>
      <c r="Y43" s="11">
        <v>16</v>
      </c>
      <c r="Z43" s="11">
        <v>34</v>
      </c>
      <c r="AA43" s="12">
        <v>110</v>
      </c>
      <c r="AB43" s="12">
        <f>AVERAGE(AA43:AA44)</f>
        <v>107.5</v>
      </c>
      <c r="AC43" s="1"/>
      <c r="AD43" s="1"/>
      <c r="AE43" s="1"/>
    </row>
    <row r="44" spans="2:36" ht="18.75" x14ac:dyDescent="0.25">
      <c r="B44" s="10"/>
      <c r="C44" s="11"/>
      <c r="D44" s="11">
        <v>37</v>
      </c>
      <c r="E44" s="11">
        <v>30</v>
      </c>
      <c r="F44" s="11">
        <v>3</v>
      </c>
      <c r="G44" s="11">
        <v>0</v>
      </c>
      <c r="H44" s="11">
        <v>0</v>
      </c>
      <c r="I44" s="11">
        <v>0</v>
      </c>
      <c r="J44" s="11">
        <v>2</v>
      </c>
      <c r="K44" s="11">
        <v>22</v>
      </c>
      <c r="L44" s="11">
        <v>40</v>
      </c>
      <c r="M44" s="12">
        <v>134</v>
      </c>
      <c r="N44" s="12"/>
      <c r="O44" s="1"/>
      <c r="P44" s="10"/>
      <c r="Q44" s="11"/>
      <c r="R44" s="11">
        <v>38</v>
      </c>
      <c r="S44" s="11">
        <v>16</v>
      </c>
      <c r="T44" s="11">
        <v>7</v>
      </c>
      <c r="U44" s="11">
        <v>4</v>
      </c>
      <c r="V44" s="11">
        <v>0</v>
      </c>
      <c r="W44" s="11">
        <v>1</v>
      </c>
      <c r="X44" s="11">
        <v>3</v>
      </c>
      <c r="Y44" s="11">
        <v>12</v>
      </c>
      <c r="Z44" s="11">
        <v>24</v>
      </c>
      <c r="AA44" s="12">
        <v>105</v>
      </c>
      <c r="AB44" s="12"/>
      <c r="AC44" s="1"/>
      <c r="AD44" s="59"/>
      <c r="AE44" s="1"/>
    </row>
    <row r="45" spans="2:36" x14ac:dyDescent="0.25">
      <c r="B45" s="10"/>
      <c r="C45" s="11" t="s">
        <v>15</v>
      </c>
      <c r="D45" s="11">
        <v>50</v>
      </c>
      <c r="E45" s="11">
        <v>28</v>
      </c>
      <c r="F45" s="11">
        <v>7</v>
      </c>
      <c r="G45" s="11">
        <v>5</v>
      </c>
      <c r="H45" s="11">
        <v>0</v>
      </c>
      <c r="I45" s="11">
        <v>0</v>
      </c>
      <c r="J45" s="11">
        <v>1</v>
      </c>
      <c r="K45" s="11">
        <v>32</v>
      </c>
      <c r="L45" s="11">
        <v>39</v>
      </c>
      <c r="M45" s="12">
        <v>162</v>
      </c>
      <c r="N45" s="12">
        <f>AVERAGE(M45:M46)</f>
        <v>159.5</v>
      </c>
      <c r="O45" s="1"/>
      <c r="P45" s="10"/>
      <c r="Q45" s="11" t="s">
        <v>15</v>
      </c>
      <c r="R45" s="11">
        <v>30</v>
      </c>
      <c r="S45" s="11">
        <v>20</v>
      </c>
      <c r="T45" s="11">
        <v>6</v>
      </c>
      <c r="U45" s="11">
        <v>0</v>
      </c>
      <c r="V45" s="11">
        <v>0</v>
      </c>
      <c r="W45" s="11">
        <v>0</v>
      </c>
      <c r="X45" s="11">
        <v>4</v>
      </c>
      <c r="Y45" s="11">
        <v>11</v>
      </c>
      <c r="Z45" s="11">
        <v>38</v>
      </c>
      <c r="AA45" s="12">
        <v>109</v>
      </c>
      <c r="AB45" s="12">
        <f>AVERAGE(AA45:AA46)</f>
        <v>111.5</v>
      </c>
      <c r="AC45" s="1"/>
      <c r="AD45" s="1"/>
      <c r="AE45" s="1"/>
    </row>
    <row r="46" spans="2:36" x14ac:dyDescent="0.25">
      <c r="B46" s="10"/>
      <c r="C46" s="11"/>
      <c r="D46" s="11">
        <v>38</v>
      </c>
      <c r="E46" s="11">
        <v>25</v>
      </c>
      <c r="F46" s="11">
        <v>4</v>
      </c>
      <c r="G46" s="11">
        <v>0</v>
      </c>
      <c r="H46" s="11">
        <v>0</v>
      </c>
      <c r="I46" s="11">
        <v>1</v>
      </c>
      <c r="J46" s="11">
        <v>3</v>
      </c>
      <c r="K46" s="11">
        <v>26</v>
      </c>
      <c r="L46" s="11">
        <v>60</v>
      </c>
      <c r="M46" s="12">
        <v>157</v>
      </c>
      <c r="N46" s="12"/>
      <c r="O46" s="1"/>
      <c r="P46" s="10"/>
      <c r="Q46" s="11"/>
      <c r="R46" s="11">
        <v>38</v>
      </c>
      <c r="S46" s="11">
        <v>20</v>
      </c>
      <c r="T46" s="11">
        <v>9</v>
      </c>
      <c r="U46" s="11">
        <v>1</v>
      </c>
      <c r="V46" s="11">
        <v>0</v>
      </c>
      <c r="W46" s="11">
        <v>0</v>
      </c>
      <c r="X46" s="11">
        <v>1</v>
      </c>
      <c r="Y46" s="11">
        <v>11</v>
      </c>
      <c r="Z46" s="11">
        <v>34</v>
      </c>
      <c r="AA46" s="12">
        <v>114</v>
      </c>
      <c r="AB46" s="12"/>
      <c r="AC46" s="1"/>
      <c r="AD46" s="1"/>
      <c r="AE46" s="1"/>
    </row>
    <row r="47" spans="2:36" x14ac:dyDescent="0.25">
      <c r="B47" s="10"/>
      <c r="C47" s="16" t="s">
        <v>56</v>
      </c>
      <c r="D47" s="55"/>
      <c r="E47" s="55"/>
      <c r="F47" s="55"/>
      <c r="G47" s="55"/>
      <c r="H47" s="55"/>
      <c r="I47" s="55"/>
      <c r="J47" s="55"/>
      <c r="K47" s="55"/>
      <c r="L47" s="55"/>
      <c r="M47" s="17"/>
      <c r="N47" s="17">
        <f>AVERAGE(N35:N46)</f>
        <v>143.33333333333334</v>
      </c>
      <c r="O47" s="1"/>
      <c r="P47" s="10"/>
      <c r="Q47" s="16" t="s">
        <v>56</v>
      </c>
      <c r="R47" s="55"/>
      <c r="S47" s="55"/>
      <c r="T47" s="55"/>
      <c r="U47" s="55"/>
      <c r="V47" s="55"/>
      <c r="W47" s="55"/>
      <c r="X47" s="55"/>
      <c r="Y47" s="55"/>
      <c r="Z47" s="55"/>
      <c r="AA47" s="17"/>
      <c r="AB47" s="17">
        <f>AVERAGE(AB35:AB46)</f>
        <v>114.33333333333333</v>
      </c>
      <c r="AC47" s="1"/>
      <c r="AD47" s="1"/>
      <c r="AE47" s="1"/>
    </row>
    <row r="48" spans="2:36" x14ac:dyDescent="0.25">
      <c r="B48" s="10"/>
      <c r="C48" s="16" t="s">
        <v>22</v>
      </c>
      <c r="D48" s="55"/>
      <c r="E48" s="55"/>
      <c r="F48" s="55"/>
      <c r="G48" s="55"/>
      <c r="H48" s="55"/>
      <c r="I48" s="55"/>
      <c r="J48" s="55"/>
      <c r="K48" s="55"/>
      <c r="L48" s="55"/>
      <c r="M48" s="17"/>
      <c r="N48" s="17">
        <f>_xlfn.STDEV.S(N35:N46)</f>
        <v>10.400320507881796</v>
      </c>
      <c r="O48" s="1"/>
      <c r="P48" s="10"/>
      <c r="Q48" s="16" t="s">
        <v>22</v>
      </c>
      <c r="R48" s="55"/>
      <c r="S48" s="55"/>
      <c r="T48" s="55"/>
      <c r="U48" s="55"/>
      <c r="V48" s="55"/>
      <c r="W48" s="55"/>
      <c r="X48" s="55"/>
      <c r="Y48" s="55"/>
      <c r="Z48" s="55"/>
      <c r="AA48" s="17"/>
      <c r="AB48" s="17">
        <f>_xlfn.STDEV.S(AB35:AB46)</f>
        <v>11.474609652039003</v>
      </c>
      <c r="AC48" s="1"/>
      <c r="AD48" s="1"/>
      <c r="AE48" s="1"/>
    </row>
    <row r="49" spans="2:31" x14ac:dyDescent="0.25">
      <c r="B49" s="4" t="s">
        <v>4</v>
      </c>
      <c r="C49" s="5" t="s">
        <v>262</v>
      </c>
      <c r="D49" s="46" t="s">
        <v>137</v>
      </c>
      <c r="E49" s="46" t="s">
        <v>138</v>
      </c>
      <c r="F49" s="46" t="s">
        <v>139</v>
      </c>
      <c r="G49" s="5" t="s">
        <v>140</v>
      </c>
      <c r="H49" s="46" t="s">
        <v>140</v>
      </c>
      <c r="I49" s="46" t="s">
        <v>140</v>
      </c>
      <c r="J49" s="5" t="s">
        <v>139</v>
      </c>
      <c r="K49" s="5" t="s">
        <v>138</v>
      </c>
      <c r="L49" s="5" t="s">
        <v>141</v>
      </c>
      <c r="M49" s="40" t="s">
        <v>142</v>
      </c>
      <c r="N49" s="40" t="s">
        <v>205</v>
      </c>
      <c r="O49" s="1"/>
      <c r="P49" s="4" t="s">
        <v>25</v>
      </c>
      <c r="Q49" s="5" t="s">
        <v>262</v>
      </c>
      <c r="R49" s="46" t="s">
        <v>137</v>
      </c>
      <c r="S49" s="46" t="s">
        <v>138</v>
      </c>
      <c r="T49" s="46" t="s">
        <v>139</v>
      </c>
      <c r="U49" s="5" t="s">
        <v>140</v>
      </c>
      <c r="V49" s="46" t="s">
        <v>140</v>
      </c>
      <c r="W49" s="46" t="s">
        <v>140</v>
      </c>
      <c r="X49" s="5" t="s">
        <v>139</v>
      </c>
      <c r="Y49" s="5" t="s">
        <v>138</v>
      </c>
      <c r="Z49" s="5" t="s">
        <v>141</v>
      </c>
      <c r="AA49" s="40" t="s">
        <v>142</v>
      </c>
      <c r="AB49" s="40" t="s">
        <v>205</v>
      </c>
      <c r="AC49" s="1"/>
      <c r="AD49" s="1"/>
      <c r="AE49" s="1"/>
    </row>
    <row r="50" spans="2:31" ht="14.1" customHeight="1" x14ac:dyDescent="0.25">
      <c r="B50" s="43" t="s">
        <v>158</v>
      </c>
      <c r="C50" s="22" t="s">
        <v>5</v>
      </c>
      <c r="D50" s="22">
        <v>49</v>
      </c>
      <c r="E50" s="22">
        <v>24</v>
      </c>
      <c r="F50" s="22">
        <v>4</v>
      </c>
      <c r="G50" s="22">
        <v>1</v>
      </c>
      <c r="H50" s="22">
        <v>0</v>
      </c>
      <c r="I50" s="22">
        <v>1</v>
      </c>
      <c r="J50" s="22">
        <v>7</v>
      </c>
      <c r="K50" s="22">
        <v>28</v>
      </c>
      <c r="L50" s="22">
        <v>57</v>
      </c>
      <c r="M50" s="14">
        <v>171</v>
      </c>
      <c r="N50" s="14">
        <f>AVERAGE(M50:M51)</f>
        <v>156</v>
      </c>
      <c r="O50" s="1"/>
      <c r="P50" s="43" t="s">
        <v>158</v>
      </c>
      <c r="Q50" s="22" t="s">
        <v>5</v>
      </c>
      <c r="R50" s="22">
        <v>28</v>
      </c>
      <c r="S50" s="22">
        <v>17</v>
      </c>
      <c r="T50" s="22">
        <v>7</v>
      </c>
      <c r="U50" s="22">
        <v>0</v>
      </c>
      <c r="V50" s="22">
        <v>0</v>
      </c>
      <c r="W50" s="22">
        <v>0</v>
      </c>
      <c r="X50" s="22">
        <v>6</v>
      </c>
      <c r="Y50" s="22">
        <v>16</v>
      </c>
      <c r="Z50" s="22">
        <v>31</v>
      </c>
      <c r="AA50" s="14">
        <v>105</v>
      </c>
      <c r="AB50" s="14">
        <f>AVERAGE(AA50:AA51)</f>
        <v>102.5</v>
      </c>
      <c r="AC50" s="1"/>
      <c r="AD50" s="1"/>
      <c r="AE50" s="1"/>
    </row>
    <row r="51" spans="2:31" x14ac:dyDescent="0.25">
      <c r="B51" s="10"/>
      <c r="C51" s="11"/>
      <c r="D51" s="11">
        <v>33</v>
      </c>
      <c r="E51" s="11">
        <v>21</v>
      </c>
      <c r="F51" s="11">
        <v>7</v>
      </c>
      <c r="G51" s="11">
        <v>1</v>
      </c>
      <c r="H51" s="11">
        <v>0</v>
      </c>
      <c r="I51" s="11">
        <v>2</v>
      </c>
      <c r="J51" s="11">
        <v>6</v>
      </c>
      <c r="K51" s="11">
        <v>22</v>
      </c>
      <c r="L51" s="11">
        <v>49</v>
      </c>
      <c r="M51" s="12">
        <v>141</v>
      </c>
      <c r="N51" s="12"/>
      <c r="O51" s="1"/>
      <c r="P51" s="10"/>
      <c r="Q51" s="11"/>
      <c r="R51" s="11">
        <v>27</v>
      </c>
      <c r="S51" s="11">
        <v>13</v>
      </c>
      <c r="T51" s="11">
        <v>3</v>
      </c>
      <c r="U51" s="11">
        <v>0</v>
      </c>
      <c r="V51" s="11">
        <v>0</v>
      </c>
      <c r="W51" s="11">
        <v>0</v>
      </c>
      <c r="X51" s="11">
        <v>6</v>
      </c>
      <c r="Y51" s="11">
        <v>14</v>
      </c>
      <c r="Z51" s="11">
        <v>37</v>
      </c>
      <c r="AA51" s="12">
        <v>100</v>
      </c>
      <c r="AB51" s="12"/>
      <c r="AC51" s="1"/>
      <c r="AD51" s="1"/>
      <c r="AE51" s="1"/>
    </row>
    <row r="52" spans="2:31" x14ac:dyDescent="0.25">
      <c r="B52" s="10"/>
      <c r="C52" s="11" t="s">
        <v>6</v>
      </c>
      <c r="D52" s="11">
        <v>33</v>
      </c>
      <c r="E52" s="11">
        <v>24</v>
      </c>
      <c r="F52" s="11">
        <v>6</v>
      </c>
      <c r="G52" s="11">
        <v>1</v>
      </c>
      <c r="H52" s="11">
        <v>0</v>
      </c>
      <c r="I52" s="11">
        <v>4</v>
      </c>
      <c r="J52" s="11">
        <v>6</v>
      </c>
      <c r="K52" s="11">
        <v>20</v>
      </c>
      <c r="L52" s="11">
        <v>54</v>
      </c>
      <c r="M52" s="12">
        <v>148</v>
      </c>
      <c r="N52" s="12">
        <f>AVERAGE(M52:M53)</f>
        <v>140.5</v>
      </c>
      <c r="O52" s="1"/>
      <c r="P52" s="10"/>
      <c r="Q52" s="11" t="s">
        <v>6</v>
      </c>
      <c r="R52" s="11">
        <v>25</v>
      </c>
      <c r="S52" s="11">
        <v>13</v>
      </c>
      <c r="T52" s="11">
        <v>8</v>
      </c>
      <c r="U52" s="11">
        <v>0</v>
      </c>
      <c r="V52" s="11">
        <v>0</v>
      </c>
      <c r="W52" s="11">
        <v>0</v>
      </c>
      <c r="X52" s="11">
        <v>5</v>
      </c>
      <c r="Y52" s="11">
        <v>13</v>
      </c>
      <c r="Z52" s="11">
        <v>40</v>
      </c>
      <c r="AA52" s="12">
        <v>104</v>
      </c>
      <c r="AB52" s="12">
        <f>AVERAGE(AA52:AA53)</f>
        <v>106</v>
      </c>
      <c r="AC52" s="1"/>
      <c r="AD52" s="1"/>
      <c r="AE52" s="1"/>
    </row>
    <row r="53" spans="2:31" ht="21" x14ac:dyDescent="0.25">
      <c r="B53" s="10"/>
      <c r="C53" s="11"/>
      <c r="D53" s="11">
        <v>38</v>
      </c>
      <c r="E53" s="11">
        <v>24</v>
      </c>
      <c r="F53" s="11">
        <v>3</v>
      </c>
      <c r="G53" s="11">
        <v>0</v>
      </c>
      <c r="H53" s="11">
        <v>0</v>
      </c>
      <c r="I53" s="11">
        <v>4</v>
      </c>
      <c r="J53" s="11">
        <v>9</v>
      </c>
      <c r="K53" s="11">
        <v>15</v>
      </c>
      <c r="L53" s="11">
        <v>40</v>
      </c>
      <c r="M53" s="12">
        <v>133</v>
      </c>
      <c r="N53" s="12"/>
      <c r="O53" s="1"/>
      <c r="P53" s="10"/>
      <c r="Q53" s="11"/>
      <c r="R53" s="11">
        <v>27</v>
      </c>
      <c r="S53" s="11">
        <v>16</v>
      </c>
      <c r="T53" s="11">
        <v>8</v>
      </c>
      <c r="U53" s="11">
        <v>0</v>
      </c>
      <c r="V53" s="11">
        <v>0</v>
      </c>
      <c r="W53" s="11">
        <v>0</v>
      </c>
      <c r="X53" s="11">
        <v>6</v>
      </c>
      <c r="Y53" s="11">
        <v>14</v>
      </c>
      <c r="Z53" s="11">
        <v>37</v>
      </c>
      <c r="AA53" s="12">
        <v>108</v>
      </c>
      <c r="AB53" s="12"/>
      <c r="AC53" s="1"/>
      <c r="AD53" s="81"/>
      <c r="AE53" s="1"/>
    </row>
    <row r="54" spans="2:31" x14ac:dyDescent="0.25">
      <c r="B54" s="10"/>
      <c r="C54" s="11" t="s">
        <v>7</v>
      </c>
      <c r="D54" s="11">
        <v>28</v>
      </c>
      <c r="E54" s="11">
        <v>16</v>
      </c>
      <c r="F54" s="11">
        <v>4</v>
      </c>
      <c r="G54" s="11">
        <v>1</v>
      </c>
      <c r="H54" s="11">
        <v>0</v>
      </c>
      <c r="I54" s="11">
        <v>2</v>
      </c>
      <c r="J54" s="11">
        <v>4</v>
      </c>
      <c r="K54" s="11">
        <v>22</v>
      </c>
      <c r="L54" s="11">
        <v>40</v>
      </c>
      <c r="M54" s="12">
        <v>117</v>
      </c>
      <c r="N54" s="12">
        <f>AVERAGE(M54:M55)</f>
        <v>125.5</v>
      </c>
      <c r="O54" s="1"/>
      <c r="P54" s="10"/>
      <c r="Q54" s="11" t="s">
        <v>7</v>
      </c>
      <c r="R54" s="11">
        <v>28</v>
      </c>
      <c r="S54" s="11">
        <v>14</v>
      </c>
      <c r="T54" s="11">
        <v>11</v>
      </c>
      <c r="U54" s="11">
        <v>0</v>
      </c>
      <c r="V54" s="11">
        <v>0</v>
      </c>
      <c r="W54" s="11">
        <v>1</v>
      </c>
      <c r="X54" s="11">
        <v>8</v>
      </c>
      <c r="Y54" s="11">
        <v>16</v>
      </c>
      <c r="Z54" s="11">
        <v>30</v>
      </c>
      <c r="AA54" s="12">
        <v>108</v>
      </c>
      <c r="AB54" s="12">
        <f>AVERAGE(AA54:AA55)</f>
        <v>107.5</v>
      </c>
      <c r="AC54" s="1"/>
      <c r="AD54" s="1"/>
      <c r="AE54" s="1"/>
    </row>
    <row r="55" spans="2:31" x14ac:dyDescent="0.25">
      <c r="B55" s="10"/>
      <c r="C55" s="11"/>
      <c r="D55" s="11">
        <v>38</v>
      </c>
      <c r="E55" s="11">
        <v>23</v>
      </c>
      <c r="F55" s="11">
        <v>8</v>
      </c>
      <c r="G55" s="11">
        <v>1</v>
      </c>
      <c r="H55" s="11">
        <v>0</v>
      </c>
      <c r="I55" s="11">
        <v>4</v>
      </c>
      <c r="J55" s="11">
        <v>1</v>
      </c>
      <c r="K55" s="11">
        <v>30</v>
      </c>
      <c r="L55" s="11">
        <v>29</v>
      </c>
      <c r="M55" s="12">
        <v>134</v>
      </c>
      <c r="N55" s="12"/>
      <c r="O55" s="1"/>
      <c r="P55" s="10"/>
      <c r="Q55" s="11"/>
      <c r="R55" s="11">
        <v>29</v>
      </c>
      <c r="S55" s="11">
        <v>12</v>
      </c>
      <c r="T55" s="11">
        <v>11</v>
      </c>
      <c r="U55" s="11">
        <v>0</v>
      </c>
      <c r="V55" s="11">
        <v>0</v>
      </c>
      <c r="W55" s="11">
        <v>0</v>
      </c>
      <c r="X55" s="11">
        <v>5</v>
      </c>
      <c r="Y55" s="11">
        <v>16</v>
      </c>
      <c r="Z55" s="11">
        <v>34</v>
      </c>
      <c r="AA55" s="12">
        <v>107</v>
      </c>
      <c r="AB55" s="12"/>
      <c r="AC55" s="1"/>
      <c r="AD55" s="1"/>
      <c r="AE55" s="1"/>
    </row>
    <row r="56" spans="2:31" ht="14.1" customHeight="1" x14ac:dyDescent="0.25">
      <c r="B56" s="10"/>
      <c r="C56" s="11" t="s">
        <v>8</v>
      </c>
      <c r="D56" s="11">
        <v>34</v>
      </c>
      <c r="E56" s="11">
        <v>15</v>
      </c>
      <c r="F56" s="11">
        <v>1</v>
      </c>
      <c r="G56" s="11">
        <v>2</v>
      </c>
      <c r="H56" s="11">
        <v>0</v>
      </c>
      <c r="I56" s="11">
        <v>1</v>
      </c>
      <c r="J56" s="11">
        <v>2</v>
      </c>
      <c r="K56" s="11">
        <v>24</v>
      </c>
      <c r="L56" s="11">
        <v>43</v>
      </c>
      <c r="M56" s="12">
        <v>122</v>
      </c>
      <c r="N56" s="12">
        <f>AVERAGE(M56:M57)</f>
        <v>116</v>
      </c>
      <c r="O56" s="1"/>
      <c r="P56" s="10"/>
      <c r="Q56" s="11" t="s">
        <v>8</v>
      </c>
      <c r="R56" s="11">
        <v>33</v>
      </c>
      <c r="S56" s="11">
        <v>12</v>
      </c>
      <c r="T56" s="11">
        <v>14</v>
      </c>
      <c r="U56" s="11">
        <v>0</v>
      </c>
      <c r="V56" s="11">
        <v>0</v>
      </c>
      <c r="W56" s="11">
        <v>0</v>
      </c>
      <c r="X56" s="11">
        <v>8</v>
      </c>
      <c r="Y56" s="11">
        <v>16</v>
      </c>
      <c r="Z56" s="11">
        <v>38</v>
      </c>
      <c r="AA56" s="12">
        <v>121</v>
      </c>
      <c r="AB56" s="12">
        <f>AVERAGE(AA56:AA57)</f>
        <v>111.5</v>
      </c>
      <c r="AC56" s="1"/>
      <c r="AD56" s="1"/>
      <c r="AE56" s="1"/>
    </row>
    <row r="57" spans="2:31" x14ac:dyDescent="0.25">
      <c r="B57" s="10"/>
      <c r="C57" s="11"/>
      <c r="D57" s="11">
        <v>19</v>
      </c>
      <c r="E57" s="11">
        <v>17</v>
      </c>
      <c r="F57" s="11">
        <v>1</v>
      </c>
      <c r="G57" s="11">
        <v>1</v>
      </c>
      <c r="H57" s="11">
        <v>0</v>
      </c>
      <c r="I57" s="11">
        <v>1</v>
      </c>
      <c r="J57" s="11">
        <v>4</v>
      </c>
      <c r="K57" s="11">
        <v>11</v>
      </c>
      <c r="L57" s="11">
        <v>56</v>
      </c>
      <c r="M57" s="12">
        <v>110</v>
      </c>
      <c r="N57" s="12"/>
      <c r="O57" s="1"/>
      <c r="P57" s="10"/>
      <c r="Q57" s="11"/>
      <c r="R57" s="11">
        <v>30</v>
      </c>
      <c r="S57" s="11">
        <v>14</v>
      </c>
      <c r="T57" s="11">
        <v>3</v>
      </c>
      <c r="U57" s="11">
        <v>0</v>
      </c>
      <c r="V57" s="11">
        <v>0</v>
      </c>
      <c r="W57" s="11">
        <v>1</v>
      </c>
      <c r="X57" s="11">
        <v>6</v>
      </c>
      <c r="Y57" s="11">
        <v>12</v>
      </c>
      <c r="Z57" s="11">
        <v>36</v>
      </c>
      <c r="AA57" s="12">
        <v>102</v>
      </c>
      <c r="AB57" s="12"/>
      <c r="AC57" s="1"/>
      <c r="AD57" s="1"/>
      <c r="AE57" s="1"/>
    </row>
    <row r="58" spans="2:31" x14ac:dyDescent="0.25">
      <c r="B58" s="10"/>
      <c r="C58" s="11" t="s">
        <v>14</v>
      </c>
      <c r="D58" s="11">
        <v>37</v>
      </c>
      <c r="E58" s="11">
        <v>19</v>
      </c>
      <c r="F58" s="11">
        <v>3</v>
      </c>
      <c r="G58" s="11">
        <v>2</v>
      </c>
      <c r="H58" s="11">
        <v>3</v>
      </c>
      <c r="I58" s="11">
        <v>1</v>
      </c>
      <c r="J58" s="11">
        <v>2</v>
      </c>
      <c r="K58" s="11">
        <v>24</v>
      </c>
      <c r="L58" s="11">
        <v>48</v>
      </c>
      <c r="M58" s="12">
        <v>139</v>
      </c>
      <c r="N58" s="12">
        <f>AVERAGE(M58:M59)</f>
        <v>145.5</v>
      </c>
      <c r="O58" s="1"/>
      <c r="P58" s="10"/>
      <c r="Q58" s="11" t="s">
        <v>14</v>
      </c>
      <c r="R58" s="11">
        <v>38</v>
      </c>
      <c r="S58" s="11">
        <v>12</v>
      </c>
      <c r="T58" s="11">
        <v>6</v>
      </c>
      <c r="U58" s="11">
        <v>0</v>
      </c>
      <c r="V58" s="11">
        <v>0</v>
      </c>
      <c r="W58" s="11">
        <v>0</v>
      </c>
      <c r="X58" s="11">
        <v>5</v>
      </c>
      <c r="Y58" s="11">
        <v>18</v>
      </c>
      <c r="Z58" s="11">
        <v>52</v>
      </c>
      <c r="AA58" s="12">
        <v>131</v>
      </c>
      <c r="AB58" s="12">
        <f>AVERAGE(AA58:AA59)</f>
        <v>133.5</v>
      </c>
      <c r="AC58" s="1"/>
      <c r="AD58" s="1"/>
      <c r="AE58" s="1"/>
    </row>
    <row r="59" spans="2:31" x14ac:dyDescent="0.25">
      <c r="B59" s="10"/>
      <c r="C59" s="11"/>
      <c r="D59" s="11">
        <v>43</v>
      </c>
      <c r="E59" s="11">
        <v>18</v>
      </c>
      <c r="F59" s="11">
        <v>2</v>
      </c>
      <c r="G59" s="11">
        <v>0</v>
      </c>
      <c r="H59" s="11">
        <v>0</v>
      </c>
      <c r="I59" s="11">
        <v>0</v>
      </c>
      <c r="J59" s="11">
        <v>5</v>
      </c>
      <c r="K59" s="11">
        <v>22</v>
      </c>
      <c r="L59" s="11">
        <v>62</v>
      </c>
      <c r="M59" s="12">
        <v>152</v>
      </c>
      <c r="N59" s="12"/>
      <c r="O59" s="1"/>
      <c r="P59" s="10"/>
      <c r="Q59" s="11"/>
      <c r="R59" s="11">
        <v>45</v>
      </c>
      <c r="S59" s="11">
        <v>15</v>
      </c>
      <c r="T59" s="11">
        <v>6</v>
      </c>
      <c r="U59" s="11">
        <v>0</v>
      </c>
      <c r="V59" s="11">
        <v>0</v>
      </c>
      <c r="W59" s="11">
        <v>0</v>
      </c>
      <c r="X59" s="11">
        <v>7</v>
      </c>
      <c r="Y59" s="11">
        <v>14</v>
      </c>
      <c r="Z59" s="11">
        <v>49</v>
      </c>
      <c r="AA59" s="12">
        <v>136</v>
      </c>
      <c r="AB59" s="12"/>
      <c r="AC59" s="1"/>
      <c r="AD59" s="1"/>
      <c r="AE59" s="1"/>
    </row>
    <row r="60" spans="2:31" x14ac:dyDescent="0.25">
      <c r="B60" s="10"/>
      <c r="C60" s="11" t="s">
        <v>15</v>
      </c>
      <c r="D60" s="11">
        <v>47</v>
      </c>
      <c r="E60" s="11">
        <v>27</v>
      </c>
      <c r="F60" s="11">
        <v>5</v>
      </c>
      <c r="G60" s="11">
        <v>3</v>
      </c>
      <c r="H60" s="11">
        <v>0</v>
      </c>
      <c r="I60" s="11">
        <v>3</v>
      </c>
      <c r="J60" s="11">
        <v>4</v>
      </c>
      <c r="K60" s="11">
        <v>13</v>
      </c>
      <c r="L60" s="11">
        <v>48</v>
      </c>
      <c r="M60" s="12">
        <v>150</v>
      </c>
      <c r="N60" s="12">
        <f>AVERAGE(M60:M61)</f>
        <v>135</v>
      </c>
      <c r="O60" s="1"/>
      <c r="P60" s="10"/>
      <c r="Q60" s="11" t="s">
        <v>15</v>
      </c>
      <c r="R60" s="11">
        <v>38</v>
      </c>
      <c r="S60" s="11">
        <v>13</v>
      </c>
      <c r="T60" s="11">
        <v>4</v>
      </c>
      <c r="U60" s="11">
        <v>0</v>
      </c>
      <c r="V60" s="11">
        <v>0</v>
      </c>
      <c r="W60" s="11">
        <v>0</v>
      </c>
      <c r="X60" s="11">
        <v>9</v>
      </c>
      <c r="Y60" s="11">
        <v>15</v>
      </c>
      <c r="Z60" s="11">
        <v>50</v>
      </c>
      <c r="AA60" s="12">
        <v>129</v>
      </c>
      <c r="AB60" s="12">
        <f>AVERAGE(AA60:AA61)</f>
        <v>122</v>
      </c>
      <c r="AC60" s="1"/>
      <c r="AD60" s="1"/>
      <c r="AE60" s="1"/>
    </row>
    <row r="61" spans="2:31" x14ac:dyDescent="0.25">
      <c r="B61" s="10"/>
      <c r="C61" s="11"/>
      <c r="D61" s="11">
        <v>28</v>
      </c>
      <c r="E61" s="11">
        <v>21</v>
      </c>
      <c r="F61" s="11">
        <v>6</v>
      </c>
      <c r="G61" s="11">
        <v>2</v>
      </c>
      <c r="H61" s="11">
        <v>0</v>
      </c>
      <c r="I61" s="11">
        <v>0</v>
      </c>
      <c r="J61" s="11">
        <v>3</v>
      </c>
      <c r="K61" s="11">
        <v>27</v>
      </c>
      <c r="L61" s="11">
        <v>33</v>
      </c>
      <c r="M61" s="12">
        <v>120</v>
      </c>
      <c r="N61" s="12"/>
      <c r="O61" s="1"/>
      <c r="P61" s="10"/>
      <c r="Q61" s="11"/>
      <c r="R61" s="11">
        <v>35</v>
      </c>
      <c r="S61" s="11">
        <v>13</v>
      </c>
      <c r="T61" s="11">
        <v>8</v>
      </c>
      <c r="U61" s="11">
        <v>0</v>
      </c>
      <c r="V61" s="11">
        <v>0</v>
      </c>
      <c r="W61" s="11">
        <v>0</v>
      </c>
      <c r="X61" s="11">
        <v>10</v>
      </c>
      <c r="Y61" s="11">
        <v>14</v>
      </c>
      <c r="Z61" s="11">
        <v>35</v>
      </c>
      <c r="AA61" s="12">
        <v>115</v>
      </c>
      <c r="AB61" s="12"/>
      <c r="AC61" s="1"/>
      <c r="AD61" s="1"/>
      <c r="AE61" s="1"/>
    </row>
    <row r="62" spans="2:31" x14ac:dyDescent="0.25">
      <c r="B62" s="10"/>
      <c r="C62" s="16" t="s">
        <v>56</v>
      </c>
      <c r="D62" s="55"/>
      <c r="E62" s="55"/>
      <c r="F62" s="55"/>
      <c r="G62" s="55"/>
      <c r="H62" s="55"/>
      <c r="I62" s="55"/>
      <c r="J62" s="55"/>
      <c r="K62" s="55"/>
      <c r="L62" s="55"/>
      <c r="M62" s="17"/>
      <c r="N62" s="17">
        <f>AVERAGE(N50:N61)</f>
        <v>136.41666666666666</v>
      </c>
      <c r="O62" s="1"/>
      <c r="P62" s="10"/>
      <c r="Q62" s="16" t="s">
        <v>56</v>
      </c>
      <c r="R62" s="55"/>
      <c r="S62" s="55"/>
      <c r="T62" s="55"/>
      <c r="U62" s="55"/>
      <c r="V62" s="55"/>
      <c r="W62" s="55"/>
      <c r="X62" s="55"/>
      <c r="Y62" s="55"/>
      <c r="Z62" s="55"/>
      <c r="AA62" s="17"/>
      <c r="AB62" s="17">
        <f>AVERAGE(AB50:AB61)</f>
        <v>113.83333333333333</v>
      </c>
      <c r="AC62" s="1"/>
      <c r="AD62" s="1"/>
      <c r="AE62" s="1"/>
    </row>
    <row r="63" spans="2:31" x14ac:dyDescent="0.25">
      <c r="B63" s="18"/>
      <c r="C63" s="19" t="s">
        <v>22</v>
      </c>
      <c r="D63" s="56"/>
      <c r="E63" s="56"/>
      <c r="F63" s="56"/>
      <c r="G63" s="56"/>
      <c r="H63" s="56"/>
      <c r="I63" s="56"/>
      <c r="J63" s="56"/>
      <c r="K63" s="56"/>
      <c r="L63" s="56"/>
      <c r="M63" s="20"/>
      <c r="N63" s="20">
        <f>_xlfn.STDEV.S(N50:N61)</f>
        <v>14.28781532168815</v>
      </c>
      <c r="O63" s="1"/>
      <c r="P63" s="18"/>
      <c r="Q63" s="19" t="s">
        <v>22</v>
      </c>
      <c r="R63" s="56"/>
      <c r="S63" s="56"/>
      <c r="T63" s="56"/>
      <c r="U63" s="56"/>
      <c r="V63" s="56"/>
      <c r="W63" s="56"/>
      <c r="X63" s="56"/>
      <c r="Y63" s="56"/>
      <c r="Z63" s="56"/>
      <c r="AA63" s="20"/>
      <c r="AB63" s="20">
        <f>_xlfn.STDEV.S(AB50:AB61)</f>
        <v>11.73740459670138</v>
      </c>
      <c r="AC63" s="1"/>
      <c r="AD63" s="1"/>
      <c r="AE63" s="1"/>
    </row>
    <row r="64" spans="2:31" x14ac:dyDescent="0.2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2:29" x14ac:dyDescent="0.2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2:29" x14ac:dyDescent="0.2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2:29" x14ac:dyDescent="0.2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2:29" x14ac:dyDescent="0.2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2:29" x14ac:dyDescent="0.2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2:29" x14ac:dyDescent="0.2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2:29" x14ac:dyDescent="0.2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2:29" x14ac:dyDescent="0.2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2:29" x14ac:dyDescent="0.2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2:29" x14ac:dyDescent="0.2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2:29" x14ac:dyDescent="0.2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2:29" x14ac:dyDescent="0.2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2:29" x14ac:dyDescent="0.2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2:29" x14ac:dyDescent="0.2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2:29" x14ac:dyDescent="0.2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2:29" x14ac:dyDescent="0.2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2:29" x14ac:dyDescent="0.2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2:29" x14ac:dyDescent="0.2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2:29" x14ac:dyDescent="0.2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2:29" x14ac:dyDescent="0.2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2:29" x14ac:dyDescent="0.2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2:29" x14ac:dyDescent="0.2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2:29" x14ac:dyDescent="0.2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2:29" x14ac:dyDescent="0.2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2:29" x14ac:dyDescent="0.2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2:29" x14ac:dyDescent="0.2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2:29" x14ac:dyDescent="0.2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2:29" x14ac:dyDescent="0.2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2:29" x14ac:dyDescent="0.2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2:29" x14ac:dyDescent="0.2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2:29" x14ac:dyDescent="0.2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2:29" x14ac:dyDescent="0.2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2:29" x14ac:dyDescent="0.2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2:29" x14ac:dyDescent="0.2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2:29" x14ac:dyDescent="0.2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2:29" x14ac:dyDescent="0.2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2:29" x14ac:dyDescent="0.2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2:29" x14ac:dyDescent="0.2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2:29" x14ac:dyDescent="0.2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2:29" x14ac:dyDescent="0.2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2:29" x14ac:dyDescent="0.2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2:29" x14ac:dyDescent="0.2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2:29" x14ac:dyDescent="0.2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2:29" x14ac:dyDescent="0.2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2:29" x14ac:dyDescent="0.2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2:29" x14ac:dyDescent="0.2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2:29" x14ac:dyDescent="0.25">
      <c r="AA111" s="1"/>
      <c r="AB111" s="1"/>
      <c r="AC111" s="1"/>
    </row>
  </sheetData>
  <mergeCells count="5">
    <mergeCell ref="AD4:AH4"/>
    <mergeCell ref="AD5:AH5"/>
    <mergeCell ref="AD6:AH6"/>
    <mergeCell ref="AD8:AH8"/>
    <mergeCell ref="AD7:AH7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AE77"/>
  <sheetViews>
    <sheetView zoomScale="60" zoomScaleNormal="60" workbookViewId="0"/>
  </sheetViews>
  <sheetFormatPr defaultRowHeight="15" x14ac:dyDescent="0.25"/>
  <cols>
    <col min="1" max="1" width="2.5703125" customWidth="1"/>
    <col min="2" max="2" width="28.42578125" customWidth="1"/>
    <col min="3" max="3" width="20.7109375" bestFit="1" customWidth="1"/>
    <col min="4" max="4" width="9.28515625" bestFit="1" customWidth="1"/>
    <col min="5" max="5" width="10.28515625" customWidth="1"/>
    <col min="6" max="6" width="9.7109375" customWidth="1"/>
    <col min="7" max="8" width="9.5703125" customWidth="1"/>
    <col min="9" max="9" width="10" customWidth="1"/>
    <col min="10" max="11" width="10.5703125" customWidth="1"/>
    <col min="12" max="12" width="14" bestFit="1" customWidth="1"/>
    <col min="13" max="13" width="3.28515625" customWidth="1"/>
    <col min="14" max="14" width="25.140625" customWidth="1"/>
    <col min="15" max="15" width="18.28515625" bestFit="1" customWidth="1"/>
    <col min="16" max="16" width="10.85546875" customWidth="1"/>
    <col min="17" max="17" width="10" customWidth="1"/>
    <col min="18" max="18" width="9.85546875" customWidth="1"/>
    <col min="19" max="21" width="9.5703125" customWidth="1"/>
    <col min="22" max="22" width="10" customWidth="1"/>
    <col min="23" max="23" width="9.85546875" customWidth="1"/>
    <col min="24" max="24" width="14" bestFit="1" customWidth="1"/>
    <col min="25" max="25" width="4" customWidth="1"/>
    <col min="26" max="26" width="16.28515625" bestFit="1" customWidth="1"/>
    <col min="29" max="29" width="9" customWidth="1"/>
    <col min="30" max="30" width="1" customWidth="1"/>
  </cols>
  <sheetData>
    <row r="1" spans="2:31" s="122" customFormat="1" x14ac:dyDescent="0.25"/>
    <row r="2" spans="2:31" s="1" customFormat="1" x14ac:dyDescent="0.25">
      <c r="B2" s="296" t="s">
        <v>240</v>
      </c>
      <c r="Z2" s="9"/>
      <c r="AA2" s="9"/>
      <c r="AB2" s="9"/>
      <c r="AC2" s="9"/>
      <c r="AD2" s="9"/>
      <c r="AE2" s="9"/>
    </row>
    <row r="3" spans="2:31" s="1" customFormat="1" x14ac:dyDescent="0.25">
      <c r="B3" s="198" t="s">
        <v>50</v>
      </c>
      <c r="Z3" s="9"/>
      <c r="AA3" s="9"/>
      <c r="AB3" s="9"/>
      <c r="AC3" s="9"/>
      <c r="AD3" s="9"/>
      <c r="AE3" s="9"/>
    </row>
    <row r="4" spans="2:31" s="1" customFormat="1" ht="14.1" customHeight="1" x14ac:dyDescent="0.25">
      <c r="B4" s="4" t="s">
        <v>4</v>
      </c>
      <c r="C4" s="5" t="s">
        <v>262</v>
      </c>
      <c r="D4" s="46" t="s">
        <v>143</v>
      </c>
      <c r="E4" s="46" t="s">
        <v>144</v>
      </c>
      <c r="F4" s="46" t="s">
        <v>145</v>
      </c>
      <c r="G4" s="46" t="s">
        <v>146</v>
      </c>
      <c r="H4" s="46" t="s">
        <v>147</v>
      </c>
      <c r="I4" s="46" t="s">
        <v>148</v>
      </c>
      <c r="J4" s="46" t="s">
        <v>149</v>
      </c>
      <c r="K4" s="46" t="s">
        <v>150</v>
      </c>
      <c r="L4" s="40" t="s">
        <v>238</v>
      </c>
      <c r="N4" s="4" t="s">
        <v>25</v>
      </c>
      <c r="O4" s="5" t="s">
        <v>262</v>
      </c>
      <c r="P4" s="46" t="s">
        <v>143</v>
      </c>
      <c r="Q4" s="46" t="s">
        <v>144</v>
      </c>
      <c r="R4" s="46" t="s">
        <v>145</v>
      </c>
      <c r="S4" s="46" t="s">
        <v>146</v>
      </c>
      <c r="T4" s="46" t="s">
        <v>147</v>
      </c>
      <c r="U4" s="46" t="s">
        <v>148</v>
      </c>
      <c r="V4" s="46" t="s">
        <v>149</v>
      </c>
      <c r="W4" s="46" t="s">
        <v>150</v>
      </c>
      <c r="X4" s="40" t="s">
        <v>238</v>
      </c>
      <c r="Z4" s="9"/>
      <c r="AA4" s="9"/>
      <c r="AB4" s="9"/>
      <c r="AC4" s="9"/>
      <c r="AD4" s="9"/>
      <c r="AE4" s="9"/>
    </row>
    <row r="5" spans="2:31" s="1" customFormat="1" x14ac:dyDescent="0.25">
      <c r="B5" s="43" t="s">
        <v>153</v>
      </c>
      <c r="C5" s="22" t="s">
        <v>5</v>
      </c>
      <c r="D5" s="22">
        <v>276</v>
      </c>
      <c r="E5" s="22">
        <v>190</v>
      </c>
      <c r="F5" s="22">
        <v>193</v>
      </c>
      <c r="G5" s="22">
        <v>164</v>
      </c>
      <c r="H5" s="22">
        <v>157</v>
      </c>
      <c r="I5" s="22">
        <v>186</v>
      </c>
      <c r="J5" s="22">
        <v>113</v>
      </c>
      <c r="K5" s="22">
        <v>156</v>
      </c>
      <c r="L5" s="14">
        <v>1435</v>
      </c>
      <c r="N5" s="43" t="s">
        <v>153</v>
      </c>
      <c r="O5" s="22" t="s">
        <v>5</v>
      </c>
      <c r="P5" s="22">
        <v>40</v>
      </c>
      <c r="Q5" s="22">
        <v>50</v>
      </c>
      <c r="R5" s="22">
        <v>20</v>
      </c>
      <c r="S5" s="22">
        <v>10</v>
      </c>
      <c r="T5" s="22">
        <v>26</v>
      </c>
      <c r="U5" s="22">
        <v>28</v>
      </c>
      <c r="V5" s="22">
        <v>30</v>
      </c>
      <c r="W5" s="22">
        <v>18</v>
      </c>
      <c r="X5" s="14">
        <f>SUM(P5:W5)</f>
        <v>222</v>
      </c>
      <c r="Z5" s="9"/>
      <c r="AA5" s="9"/>
      <c r="AB5" s="9"/>
      <c r="AC5" s="9"/>
      <c r="AD5" s="9"/>
      <c r="AE5" s="9"/>
    </row>
    <row r="6" spans="2:31" s="1" customFormat="1" x14ac:dyDescent="0.25">
      <c r="B6" s="10"/>
      <c r="C6" s="11" t="s">
        <v>6</v>
      </c>
      <c r="D6" s="11">
        <v>182</v>
      </c>
      <c r="E6" s="11">
        <v>206</v>
      </c>
      <c r="F6" s="11">
        <v>150</v>
      </c>
      <c r="G6" s="11">
        <v>100</v>
      </c>
      <c r="H6" s="11">
        <v>134</v>
      </c>
      <c r="I6" s="11">
        <v>146</v>
      </c>
      <c r="J6" s="11">
        <v>137</v>
      </c>
      <c r="K6" s="11">
        <v>220</v>
      </c>
      <c r="L6" s="12">
        <v>1275</v>
      </c>
      <c r="N6" s="10"/>
      <c r="O6" s="11" t="s">
        <v>6</v>
      </c>
      <c r="P6" s="11">
        <v>0</v>
      </c>
      <c r="Q6" s="11">
        <v>20</v>
      </c>
      <c r="R6" s="11">
        <v>10</v>
      </c>
      <c r="S6" s="11">
        <v>8</v>
      </c>
      <c r="T6" s="11">
        <v>25</v>
      </c>
      <c r="U6" s="11">
        <v>20</v>
      </c>
      <c r="V6" s="11">
        <v>19</v>
      </c>
      <c r="W6" s="11">
        <v>50</v>
      </c>
      <c r="X6" s="12">
        <f>SUM(P6:W6)</f>
        <v>152</v>
      </c>
      <c r="Z6" s="9"/>
      <c r="AA6" s="9"/>
      <c r="AB6" s="9"/>
      <c r="AC6" s="9"/>
      <c r="AD6" s="9"/>
      <c r="AE6" s="9"/>
    </row>
    <row r="7" spans="2:31" s="1" customFormat="1" x14ac:dyDescent="0.25">
      <c r="B7" s="10"/>
      <c r="C7" s="11" t="s">
        <v>7</v>
      </c>
      <c r="D7" s="11">
        <v>137</v>
      </c>
      <c r="E7" s="11">
        <v>127</v>
      </c>
      <c r="F7" s="11">
        <v>270</v>
      </c>
      <c r="G7" s="11">
        <v>130</v>
      </c>
      <c r="H7" s="11">
        <v>74</v>
      </c>
      <c r="I7" s="11">
        <v>198</v>
      </c>
      <c r="J7" s="11">
        <v>220</v>
      </c>
      <c r="K7" s="11">
        <v>110</v>
      </c>
      <c r="L7" s="12">
        <v>1266</v>
      </c>
      <c r="N7" s="10"/>
      <c r="O7" s="11" t="s">
        <v>7</v>
      </c>
      <c r="P7" s="11">
        <v>30</v>
      </c>
      <c r="Q7" s="11">
        <v>70</v>
      </c>
      <c r="R7" s="11">
        <v>6</v>
      </c>
      <c r="S7" s="11">
        <v>17</v>
      </c>
      <c r="T7" s="11">
        <v>23</v>
      </c>
      <c r="U7" s="11">
        <v>0</v>
      </c>
      <c r="V7" s="11">
        <v>5</v>
      </c>
      <c r="W7" s="11">
        <v>7</v>
      </c>
      <c r="X7" s="12">
        <f>SUM(P7:W7)</f>
        <v>158</v>
      </c>
      <c r="Z7" s="9"/>
      <c r="AA7" s="9"/>
      <c r="AB7" s="9"/>
      <c r="AC7" s="9"/>
      <c r="AD7" s="9"/>
      <c r="AE7" s="9"/>
    </row>
    <row r="8" spans="2:31" s="1" customFormat="1" x14ac:dyDescent="0.25">
      <c r="B8" s="10"/>
      <c r="C8" s="11" t="s">
        <v>8</v>
      </c>
      <c r="D8" s="11">
        <v>340</v>
      </c>
      <c r="E8" s="11">
        <v>280</v>
      </c>
      <c r="F8" s="11">
        <v>180</v>
      </c>
      <c r="G8" s="11">
        <v>120</v>
      </c>
      <c r="H8" s="11">
        <v>110</v>
      </c>
      <c r="I8" s="11">
        <v>98</v>
      </c>
      <c r="J8" s="11">
        <v>280</v>
      </c>
      <c r="K8" s="11">
        <v>309</v>
      </c>
      <c r="L8" s="12">
        <v>1717</v>
      </c>
      <c r="N8" s="10"/>
      <c r="O8" s="11" t="s">
        <v>8</v>
      </c>
      <c r="P8" s="76">
        <v>0</v>
      </c>
      <c r="Q8" s="11">
        <v>20</v>
      </c>
      <c r="R8" s="11">
        <v>15</v>
      </c>
      <c r="S8" s="11">
        <v>0</v>
      </c>
      <c r="T8" s="11">
        <v>20</v>
      </c>
      <c r="U8" s="11">
        <v>10</v>
      </c>
      <c r="V8" s="11">
        <v>9</v>
      </c>
      <c r="W8" s="11">
        <v>17</v>
      </c>
      <c r="X8" s="12">
        <f>SUM(P8:W8)</f>
        <v>91</v>
      </c>
      <c r="Z8" s="9"/>
      <c r="AA8" s="9"/>
      <c r="AB8" s="9"/>
      <c r="AC8" s="9"/>
      <c r="AD8" s="9"/>
      <c r="AE8" s="9"/>
    </row>
    <row r="9" spans="2:31" s="1" customFormat="1" x14ac:dyDescent="0.25">
      <c r="B9" s="10"/>
      <c r="C9" s="16" t="s">
        <v>56</v>
      </c>
      <c r="D9" s="55"/>
      <c r="E9" s="55"/>
      <c r="F9" s="55"/>
      <c r="G9" s="55"/>
      <c r="H9" s="55"/>
      <c r="I9" s="55"/>
      <c r="J9" s="55"/>
      <c r="K9" s="55"/>
      <c r="L9" s="17">
        <f>AVERAGE(L5:L8)</f>
        <v>1423.25</v>
      </c>
      <c r="N9" s="10"/>
      <c r="O9" s="16" t="s">
        <v>56</v>
      </c>
      <c r="P9" s="55"/>
      <c r="Q9" s="55"/>
      <c r="R9" s="55"/>
      <c r="S9" s="55"/>
      <c r="T9" s="55"/>
      <c r="U9" s="55"/>
      <c r="V9" s="55"/>
      <c r="W9" s="55"/>
      <c r="X9" s="17">
        <f>AVERAGE(X5:X8)</f>
        <v>155.75</v>
      </c>
      <c r="Z9" s="9"/>
      <c r="AA9" s="9"/>
      <c r="AB9" s="9"/>
      <c r="AC9" s="9"/>
      <c r="AD9" s="9"/>
      <c r="AE9" s="9"/>
    </row>
    <row r="10" spans="2:31" s="1" customFormat="1" x14ac:dyDescent="0.25">
      <c r="B10" s="10"/>
      <c r="C10" s="16" t="s">
        <v>22</v>
      </c>
      <c r="D10" s="55"/>
      <c r="E10" s="55"/>
      <c r="F10" s="55"/>
      <c r="G10" s="55"/>
      <c r="H10" s="55"/>
      <c r="I10" s="55"/>
      <c r="J10" s="55"/>
      <c r="K10" s="55"/>
      <c r="L10" s="17">
        <f>_xlfn.STDEV.S(L5:L8)</f>
        <v>210.65987594540479</v>
      </c>
      <c r="N10" s="10"/>
      <c r="O10" s="16" t="s">
        <v>22</v>
      </c>
      <c r="P10" s="55"/>
      <c r="Q10" s="55"/>
      <c r="R10" s="55"/>
      <c r="S10" s="55"/>
      <c r="T10" s="55"/>
      <c r="U10" s="55"/>
      <c r="V10" s="55"/>
      <c r="W10" s="55"/>
      <c r="X10" s="17">
        <f>_xlfn.STDEV.S(X5:X8)</f>
        <v>53.5435959444887</v>
      </c>
      <c r="Z10" s="9"/>
      <c r="AA10" s="9"/>
      <c r="AB10" s="9"/>
      <c r="AC10" s="9"/>
      <c r="AD10" s="9"/>
      <c r="AE10" s="9"/>
    </row>
    <row r="11" spans="2:31" s="1" customFormat="1" ht="14.45" customHeight="1" x14ac:dyDescent="0.25">
      <c r="B11" s="4" t="s">
        <v>4</v>
      </c>
      <c r="C11" s="5" t="s">
        <v>262</v>
      </c>
      <c r="D11" s="46" t="s">
        <v>143</v>
      </c>
      <c r="E11" s="46" t="s">
        <v>144</v>
      </c>
      <c r="F11" s="46" t="s">
        <v>145</v>
      </c>
      <c r="G11" s="46" t="s">
        <v>146</v>
      </c>
      <c r="H11" s="46" t="s">
        <v>147</v>
      </c>
      <c r="I11" s="46" t="s">
        <v>148</v>
      </c>
      <c r="J11" s="46" t="s">
        <v>149</v>
      </c>
      <c r="K11" s="46" t="s">
        <v>150</v>
      </c>
      <c r="L11" s="40" t="s">
        <v>238</v>
      </c>
      <c r="N11" s="4" t="s">
        <v>25</v>
      </c>
      <c r="O11" s="5" t="s">
        <v>262</v>
      </c>
      <c r="P11" s="46" t="s">
        <v>143</v>
      </c>
      <c r="Q11" s="46" t="s">
        <v>144</v>
      </c>
      <c r="R11" s="46" t="s">
        <v>145</v>
      </c>
      <c r="S11" s="46" t="s">
        <v>146</v>
      </c>
      <c r="T11" s="46" t="s">
        <v>147</v>
      </c>
      <c r="U11" s="46" t="s">
        <v>148</v>
      </c>
      <c r="V11" s="46" t="s">
        <v>149</v>
      </c>
      <c r="W11" s="46" t="s">
        <v>150</v>
      </c>
      <c r="X11" s="40" t="s">
        <v>238</v>
      </c>
      <c r="Z11" s="9"/>
      <c r="AA11" s="9"/>
      <c r="AB11" s="9"/>
      <c r="AC11" s="9"/>
      <c r="AD11" s="9"/>
      <c r="AE11" s="9"/>
    </row>
    <row r="12" spans="2:31" s="1" customFormat="1" x14ac:dyDescent="0.25">
      <c r="B12" s="43" t="s">
        <v>157</v>
      </c>
      <c r="C12" s="22" t="s">
        <v>5</v>
      </c>
      <c r="D12" s="22">
        <v>120</v>
      </c>
      <c r="E12" s="22">
        <v>208</v>
      </c>
      <c r="F12" s="22">
        <v>89</v>
      </c>
      <c r="G12" s="22">
        <v>210</v>
      </c>
      <c r="H12" s="22">
        <v>89</v>
      </c>
      <c r="I12" s="22">
        <v>230</v>
      </c>
      <c r="J12" s="22">
        <v>98</v>
      </c>
      <c r="K12" s="22">
        <v>45</v>
      </c>
      <c r="L12" s="14">
        <v>1089</v>
      </c>
      <c r="N12" s="43" t="s">
        <v>157</v>
      </c>
      <c r="O12" s="22" t="s">
        <v>5</v>
      </c>
      <c r="P12" s="82">
        <v>78</v>
      </c>
      <c r="Q12" s="82">
        <v>82</v>
      </c>
      <c r="R12" s="82">
        <v>56</v>
      </c>
      <c r="S12" s="82">
        <v>32</v>
      </c>
      <c r="T12" s="82">
        <v>45</v>
      </c>
      <c r="U12" s="82">
        <v>19</v>
      </c>
      <c r="V12" s="82">
        <v>38</v>
      </c>
      <c r="W12" s="82">
        <v>65</v>
      </c>
      <c r="X12" s="83">
        <f>SUM(P12:W12)</f>
        <v>415</v>
      </c>
      <c r="Z12" s="9"/>
      <c r="AA12" s="9"/>
      <c r="AB12" s="9"/>
      <c r="AC12" s="9"/>
      <c r="AD12" s="9"/>
      <c r="AE12" s="9"/>
    </row>
    <row r="13" spans="2:31" s="1" customFormat="1" x14ac:dyDescent="0.25">
      <c r="B13" s="10"/>
      <c r="C13" s="11" t="s">
        <v>6</v>
      </c>
      <c r="D13" s="11">
        <v>145</v>
      </c>
      <c r="E13" s="11">
        <v>167</v>
      </c>
      <c r="F13" s="11">
        <v>89</v>
      </c>
      <c r="G13" s="11">
        <v>48</v>
      </c>
      <c r="H13" s="11">
        <v>89</v>
      </c>
      <c r="I13" s="11">
        <v>145</v>
      </c>
      <c r="J13" s="11">
        <v>45</v>
      </c>
      <c r="K13" s="11">
        <v>267</v>
      </c>
      <c r="L13" s="12">
        <v>995</v>
      </c>
      <c r="N13" s="10"/>
      <c r="O13" s="11" t="s">
        <v>6</v>
      </c>
      <c r="P13" s="84">
        <v>56</v>
      </c>
      <c r="Q13" s="84">
        <v>34</v>
      </c>
      <c r="R13" s="84">
        <v>78</v>
      </c>
      <c r="S13" s="84">
        <v>92</v>
      </c>
      <c r="T13" s="84">
        <v>78</v>
      </c>
      <c r="U13" s="84">
        <v>20</v>
      </c>
      <c r="V13" s="84">
        <v>10</v>
      </c>
      <c r="W13" s="84">
        <v>78</v>
      </c>
      <c r="X13" s="85">
        <f>SUM(P13:W13)</f>
        <v>446</v>
      </c>
      <c r="Z13" s="9"/>
      <c r="AA13" s="9"/>
      <c r="AB13" s="9"/>
      <c r="AC13" s="9"/>
      <c r="AD13" s="9"/>
      <c r="AE13" s="9"/>
    </row>
    <row r="14" spans="2:31" s="1" customFormat="1" x14ac:dyDescent="0.25">
      <c r="B14" s="10"/>
      <c r="C14" s="11" t="s">
        <v>7</v>
      </c>
      <c r="D14" s="11">
        <v>167</v>
      </c>
      <c r="E14" s="11">
        <v>120</v>
      </c>
      <c r="F14" s="11">
        <v>89</v>
      </c>
      <c r="G14" s="11">
        <v>210</v>
      </c>
      <c r="H14" s="11">
        <v>110</v>
      </c>
      <c r="I14" s="11">
        <v>89</v>
      </c>
      <c r="J14" s="11">
        <v>56</v>
      </c>
      <c r="K14" s="11">
        <v>84</v>
      </c>
      <c r="L14" s="12">
        <v>925</v>
      </c>
      <c r="N14" s="10"/>
      <c r="O14" s="11" t="s">
        <v>7</v>
      </c>
      <c r="P14" s="84">
        <v>78</v>
      </c>
      <c r="Q14" s="84">
        <v>65</v>
      </c>
      <c r="R14" s="84">
        <v>78</v>
      </c>
      <c r="S14" s="84">
        <v>54</v>
      </c>
      <c r="T14" s="84">
        <v>78</v>
      </c>
      <c r="U14" s="84">
        <v>32</v>
      </c>
      <c r="V14" s="84">
        <v>56</v>
      </c>
      <c r="W14" s="84">
        <v>67</v>
      </c>
      <c r="X14" s="85">
        <f>SUM(P14:W14)</f>
        <v>508</v>
      </c>
      <c r="Z14" s="9"/>
      <c r="AA14" s="9"/>
      <c r="AB14" s="9"/>
      <c r="AC14" s="9"/>
      <c r="AD14" s="9"/>
      <c r="AE14" s="9"/>
    </row>
    <row r="15" spans="2:31" s="1" customFormat="1" x14ac:dyDescent="0.25">
      <c r="B15" s="10"/>
      <c r="C15" s="11" t="s">
        <v>8</v>
      </c>
      <c r="D15" s="11">
        <v>120</v>
      </c>
      <c r="E15" s="11">
        <v>220</v>
      </c>
      <c r="F15" s="11">
        <v>230</v>
      </c>
      <c r="G15" s="11">
        <v>145</v>
      </c>
      <c r="H15" s="11">
        <v>34</v>
      </c>
      <c r="I15" s="11">
        <v>67</v>
      </c>
      <c r="J15" s="11">
        <v>110</v>
      </c>
      <c r="K15" s="11">
        <v>120</v>
      </c>
      <c r="L15" s="12">
        <v>1046</v>
      </c>
      <c r="N15" s="10"/>
      <c r="O15" s="11" t="s">
        <v>8</v>
      </c>
      <c r="P15" s="84">
        <v>98</v>
      </c>
      <c r="Q15" s="84">
        <v>63</v>
      </c>
      <c r="R15" s="84">
        <v>30</v>
      </c>
      <c r="S15" s="84">
        <v>20</v>
      </c>
      <c r="T15" s="84">
        <v>20</v>
      </c>
      <c r="U15" s="84">
        <v>10</v>
      </c>
      <c r="V15" s="84">
        <v>34</v>
      </c>
      <c r="W15" s="84">
        <v>78</v>
      </c>
      <c r="X15" s="85">
        <f>SUM(P15:W15)</f>
        <v>353</v>
      </c>
      <c r="Z15" s="9"/>
      <c r="AA15" s="9"/>
      <c r="AB15" s="9"/>
      <c r="AC15" s="9"/>
      <c r="AD15" s="9"/>
      <c r="AE15" s="9"/>
    </row>
    <row r="16" spans="2:31" s="1" customFormat="1" x14ac:dyDescent="0.25">
      <c r="B16" s="10"/>
      <c r="C16" s="16" t="s">
        <v>56</v>
      </c>
      <c r="D16" s="55"/>
      <c r="E16" s="55"/>
      <c r="F16" s="55"/>
      <c r="G16" s="55"/>
      <c r="H16" s="55"/>
      <c r="I16" s="55"/>
      <c r="J16" s="55"/>
      <c r="K16" s="55"/>
      <c r="L16" s="17">
        <f>AVERAGE(L12:L15)</f>
        <v>1013.75</v>
      </c>
      <c r="N16" s="10"/>
      <c r="O16" s="16" t="s">
        <v>56</v>
      </c>
      <c r="P16" s="55"/>
      <c r="Q16" s="55"/>
      <c r="R16" s="55"/>
      <c r="S16" s="55"/>
      <c r="T16" s="55"/>
      <c r="U16" s="55"/>
      <c r="V16" s="55"/>
      <c r="W16" s="55"/>
      <c r="X16" s="17">
        <f>AVERAGE(X12:X15)</f>
        <v>430.5</v>
      </c>
      <c r="Z16" s="9"/>
      <c r="AA16" s="9"/>
      <c r="AB16" s="9"/>
      <c r="AC16" s="9"/>
      <c r="AD16" s="9"/>
      <c r="AE16" s="9"/>
    </row>
    <row r="17" spans="2:31" s="1" customFormat="1" x14ac:dyDescent="0.25">
      <c r="B17" s="10"/>
      <c r="C17" s="16" t="s">
        <v>22</v>
      </c>
      <c r="D17" s="55"/>
      <c r="E17" s="55"/>
      <c r="F17" s="55"/>
      <c r="G17" s="55"/>
      <c r="H17" s="55"/>
      <c r="I17" s="55"/>
      <c r="J17" s="55"/>
      <c r="K17" s="55"/>
      <c r="L17" s="17">
        <f>_xlfn.STDEV.S(L12:L15)</f>
        <v>70.547265479724061</v>
      </c>
      <c r="N17" s="10"/>
      <c r="O17" s="16" t="s">
        <v>22</v>
      </c>
      <c r="P17" s="55"/>
      <c r="Q17" s="55"/>
      <c r="R17" s="55"/>
      <c r="S17" s="55"/>
      <c r="T17" s="55"/>
      <c r="U17" s="55"/>
      <c r="V17" s="55"/>
      <c r="W17" s="55"/>
      <c r="X17" s="17">
        <f>_xlfn.STDEV.S(X12:X15)</f>
        <v>64.531645983450119</v>
      </c>
      <c r="Z17" s="9"/>
      <c r="AA17" s="9"/>
      <c r="AB17" s="9"/>
      <c r="AC17" s="9"/>
      <c r="AD17" s="9"/>
      <c r="AE17" s="9"/>
    </row>
    <row r="18" spans="2:31" s="1" customFormat="1" ht="14.45" customHeight="1" x14ac:dyDescent="0.25">
      <c r="B18" s="4" t="s">
        <v>4</v>
      </c>
      <c r="C18" s="5" t="s">
        <v>262</v>
      </c>
      <c r="D18" s="46" t="s">
        <v>143</v>
      </c>
      <c r="E18" s="46" t="s">
        <v>144</v>
      </c>
      <c r="F18" s="46" t="s">
        <v>145</v>
      </c>
      <c r="G18" s="46" t="s">
        <v>146</v>
      </c>
      <c r="H18" s="46" t="s">
        <v>147</v>
      </c>
      <c r="I18" s="46" t="s">
        <v>148</v>
      </c>
      <c r="J18" s="46" t="s">
        <v>149</v>
      </c>
      <c r="K18" s="46" t="s">
        <v>150</v>
      </c>
      <c r="L18" s="40" t="s">
        <v>238</v>
      </c>
      <c r="N18" s="4" t="s">
        <v>25</v>
      </c>
      <c r="O18" s="5" t="s">
        <v>262</v>
      </c>
      <c r="P18" s="86" t="s">
        <v>143</v>
      </c>
      <c r="Q18" s="86" t="s">
        <v>144</v>
      </c>
      <c r="R18" s="86" t="s">
        <v>145</v>
      </c>
      <c r="S18" s="86" t="s">
        <v>146</v>
      </c>
      <c r="T18" s="86" t="s">
        <v>147</v>
      </c>
      <c r="U18" s="86" t="s">
        <v>148</v>
      </c>
      <c r="V18" s="86" t="s">
        <v>149</v>
      </c>
      <c r="W18" s="86" t="s">
        <v>150</v>
      </c>
      <c r="X18" s="40" t="s">
        <v>238</v>
      </c>
      <c r="Z18" s="9"/>
      <c r="AA18" s="9"/>
      <c r="AB18" s="9"/>
      <c r="AC18" s="9"/>
      <c r="AD18" s="9"/>
      <c r="AE18" s="9"/>
    </row>
    <row r="19" spans="2:31" s="1" customFormat="1" x14ac:dyDescent="0.25">
      <c r="B19" s="43" t="s">
        <v>158</v>
      </c>
      <c r="C19" s="22" t="s">
        <v>5</v>
      </c>
      <c r="D19" s="22">
        <v>89</v>
      </c>
      <c r="E19" s="22">
        <v>69</v>
      </c>
      <c r="F19" s="22">
        <v>45</v>
      </c>
      <c r="G19" s="22">
        <v>89</v>
      </c>
      <c r="H19" s="22">
        <v>20</v>
      </c>
      <c r="I19" s="22">
        <v>86</v>
      </c>
      <c r="J19" s="22">
        <v>78</v>
      </c>
      <c r="K19" s="22">
        <v>78</v>
      </c>
      <c r="L19" s="14">
        <v>554</v>
      </c>
      <c r="N19" s="43" t="s">
        <v>158</v>
      </c>
      <c r="O19" s="22" t="s">
        <v>5</v>
      </c>
      <c r="P19" s="82">
        <v>29</v>
      </c>
      <c r="Q19" s="82">
        <v>78</v>
      </c>
      <c r="R19" s="82">
        <v>56</v>
      </c>
      <c r="S19" s="82">
        <v>67</v>
      </c>
      <c r="T19" s="82">
        <v>42</v>
      </c>
      <c r="U19" s="82">
        <v>34</v>
      </c>
      <c r="V19" s="82">
        <v>23</v>
      </c>
      <c r="W19" s="82">
        <v>39</v>
      </c>
      <c r="X19" s="83">
        <f>SUM(P19:W19)</f>
        <v>368</v>
      </c>
      <c r="Z19" s="9"/>
      <c r="AA19" s="9"/>
      <c r="AB19" s="9"/>
      <c r="AC19" s="9"/>
      <c r="AD19" s="9"/>
      <c r="AE19" s="9"/>
    </row>
    <row r="20" spans="2:31" s="1" customFormat="1" x14ac:dyDescent="0.25">
      <c r="B20" s="10"/>
      <c r="C20" s="11" t="s">
        <v>6</v>
      </c>
      <c r="D20" s="11">
        <v>78</v>
      </c>
      <c r="E20" s="11">
        <v>98</v>
      </c>
      <c r="F20" s="11">
        <v>56</v>
      </c>
      <c r="G20" s="11">
        <v>10</v>
      </c>
      <c r="H20" s="11">
        <v>89</v>
      </c>
      <c r="I20" s="11">
        <v>78</v>
      </c>
      <c r="J20" s="11">
        <v>95</v>
      </c>
      <c r="K20" s="11">
        <v>87</v>
      </c>
      <c r="L20" s="12">
        <v>591</v>
      </c>
      <c r="N20" s="10"/>
      <c r="O20" s="11" t="s">
        <v>6</v>
      </c>
      <c r="P20" s="84">
        <v>56</v>
      </c>
      <c r="Q20" s="84">
        <v>34</v>
      </c>
      <c r="R20" s="84">
        <v>32</v>
      </c>
      <c r="S20" s="84">
        <v>29</v>
      </c>
      <c r="T20" s="84">
        <v>10</v>
      </c>
      <c r="U20" s="84">
        <v>56</v>
      </c>
      <c r="V20" s="84">
        <v>21</v>
      </c>
      <c r="W20" s="84">
        <v>78</v>
      </c>
      <c r="X20" s="85">
        <f>SUM(P20:W20)</f>
        <v>316</v>
      </c>
      <c r="Z20" s="9"/>
      <c r="AA20" s="9"/>
      <c r="AB20" s="9"/>
      <c r="AC20" s="9"/>
      <c r="AD20" s="9"/>
      <c r="AE20" s="9"/>
    </row>
    <row r="21" spans="2:31" s="1" customFormat="1" x14ac:dyDescent="0.25">
      <c r="B21" s="10"/>
      <c r="C21" s="11" t="s">
        <v>7</v>
      </c>
      <c r="D21" s="11">
        <v>67</v>
      </c>
      <c r="E21" s="11">
        <v>98</v>
      </c>
      <c r="F21" s="11">
        <v>89</v>
      </c>
      <c r="G21" s="11">
        <v>45</v>
      </c>
      <c r="H21" s="11">
        <v>67</v>
      </c>
      <c r="I21" s="11">
        <v>65</v>
      </c>
      <c r="J21" s="11">
        <v>56</v>
      </c>
      <c r="K21" s="11">
        <v>4</v>
      </c>
      <c r="L21" s="12">
        <v>491</v>
      </c>
      <c r="N21" s="10"/>
      <c r="O21" s="11" t="s">
        <v>7</v>
      </c>
      <c r="P21" s="84">
        <v>45</v>
      </c>
      <c r="Q21" s="84">
        <v>29</v>
      </c>
      <c r="R21" s="84">
        <v>45</v>
      </c>
      <c r="S21" s="84">
        <v>43</v>
      </c>
      <c r="T21" s="84">
        <v>9</v>
      </c>
      <c r="U21" s="84">
        <v>34</v>
      </c>
      <c r="V21" s="84">
        <v>27</v>
      </c>
      <c r="W21" s="84">
        <v>34</v>
      </c>
      <c r="X21" s="85">
        <f>SUM(P21:W21)</f>
        <v>266</v>
      </c>
      <c r="Z21" s="9"/>
      <c r="AA21" s="9"/>
      <c r="AB21" s="9"/>
      <c r="AC21" s="9"/>
      <c r="AD21" s="9"/>
      <c r="AE21" s="9"/>
    </row>
    <row r="22" spans="2:31" s="1" customFormat="1" x14ac:dyDescent="0.25">
      <c r="B22" s="10"/>
      <c r="C22" s="11" t="s">
        <v>8</v>
      </c>
      <c r="D22" s="11">
        <v>40</v>
      </c>
      <c r="E22" s="11">
        <v>78</v>
      </c>
      <c r="F22" s="11">
        <v>120</v>
      </c>
      <c r="G22" s="11">
        <v>95</v>
      </c>
      <c r="H22" s="11">
        <v>78</v>
      </c>
      <c r="I22" s="11">
        <v>69</v>
      </c>
      <c r="J22" s="11">
        <v>68</v>
      </c>
      <c r="K22" s="11">
        <v>27</v>
      </c>
      <c r="L22" s="12">
        <v>575</v>
      </c>
      <c r="N22" s="10"/>
      <c r="O22" s="11" t="s">
        <v>8</v>
      </c>
      <c r="P22" s="84">
        <v>45</v>
      </c>
      <c r="Q22" s="84">
        <v>56</v>
      </c>
      <c r="R22" s="84">
        <v>34</v>
      </c>
      <c r="S22" s="84">
        <v>29</v>
      </c>
      <c r="T22" s="84">
        <v>30</v>
      </c>
      <c r="U22" s="84">
        <v>56</v>
      </c>
      <c r="V22" s="84">
        <v>28</v>
      </c>
      <c r="W22" s="84">
        <v>19</v>
      </c>
      <c r="X22" s="85">
        <f>SUM(P22:W22)</f>
        <v>297</v>
      </c>
      <c r="Z22" s="9"/>
      <c r="AA22" s="9"/>
      <c r="AB22" s="9"/>
      <c r="AC22" s="9"/>
      <c r="AD22" s="9"/>
      <c r="AE22" s="9"/>
    </row>
    <row r="23" spans="2:31" s="1" customFormat="1" x14ac:dyDescent="0.25">
      <c r="B23" s="10"/>
      <c r="C23" s="16" t="s">
        <v>56</v>
      </c>
      <c r="D23" s="55"/>
      <c r="E23" s="55"/>
      <c r="F23" s="55"/>
      <c r="G23" s="55"/>
      <c r="H23" s="55"/>
      <c r="I23" s="55"/>
      <c r="J23" s="55"/>
      <c r="K23" s="55"/>
      <c r="L23" s="17">
        <f>AVERAGE(L19:L22)</f>
        <v>552.75</v>
      </c>
      <c r="N23" s="10"/>
      <c r="O23" s="16" t="s">
        <v>56</v>
      </c>
      <c r="P23" s="55"/>
      <c r="Q23" s="55"/>
      <c r="R23" s="55"/>
      <c r="S23" s="55"/>
      <c r="T23" s="55"/>
      <c r="U23" s="55"/>
      <c r="V23" s="55"/>
      <c r="W23" s="55"/>
      <c r="X23" s="17">
        <f>AVERAGE(X19:X22)</f>
        <v>311.75</v>
      </c>
      <c r="Z23" s="9"/>
      <c r="AA23" s="9"/>
      <c r="AB23" s="9"/>
      <c r="AC23" s="9"/>
      <c r="AD23" s="9"/>
      <c r="AE23" s="9"/>
    </row>
    <row r="24" spans="2:31" s="1" customFormat="1" x14ac:dyDescent="0.25">
      <c r="B24" s="18"/>
      <c r="C24" s="19" t="s">
        <v>22</v>
      </c>
      <c r="D24" s="56"/>
      <c r="E24" s="56"/>
      <c r="F24" s="56"/>
      <c r="G24" s="56"/>
      <c r="H24" s="56"/>
      <c r="I24" s="56"/>
      <c r="J24" s="56"/>
      <c r="K24" s="56"/>
      <c r="L24" s="20">
        <f>_xlfn.STDEV.S(L19:L22)</f>
        <v>43.866274061059713</v>
      </c>
      <c r="N24" s="18"/>
      <c r="O24" s="19" t="s">
        <v>22</v>
      </c>
      <c r="P24" s="56"/>
      <c r="Q24" s="56"/>
      <c r="R24" s="56"/>
      <c r="S24" s="56"/>
      <c r="T24" s="56"/>
      <c r="U24" s="56"/>
      <c r="V24" s="56"/>
      <c r="W24" s="56"/>
      <c r="X24" s="20">
        <f>_xlfn.STDEV.S(X19:X22)</f>
        <v>42.789212036057251</v>
      </c>
      <c r="Z24" s="9"/>
      <c r="AA24" s="9"/>
      <c r="AB24" s="9"/>
      <c r="AC24" s="9"/>
      <c r="AD24" s="9"/>
      <c r="AE24" s="9"/>
    </row>
    <row r="45" spans="4:10" ht="21" x14ac:dyDescent="0.35">
      <c r="D45" s="87"/>
    </row>
    <row r="46" spans="4:10" ht="18.75" x14ac:dyDescent="0.3">
      <c r="D46" s="88"/>
      <c r="E46" s="88"/>
      <c r="F46" s="88"/>
      <c r="G46" s="88"/>
      <c r="H46" s="88"/>
      <c r="I46" s="88"/>
      <c r="J46" s="88"/>
    </row>
    <row r="47" spans="4:10" ht="18.75" x14ac:dyDescent="0.3">
      <c r="D47" s="88"/>
      <c r="E47" s="88"/>
      <c r="F47" s="88"/>
      <c r="G47" s="88"/>
      <c r="H47" s="88"/>
      <c r="I47" s="88"/>
      <c r="J47" s="88"/>
    </row>
    <row r="48" spans="4:10" ht="18.75" x14ac:dyDescent="0.3">
      <c r="D48" s="88"/>
      <c r="E48" s="88"/>
      <c r="F48" s="88"/>
      <c r="G48" s="88"/>
      <c r="H48" s="88"/>
      <c r="I48" s="88"/>
      <c r="J48" s="88"/>
    </row>
    <row r="49" spans="4:26" ht="18.75" x14ac:dyDescent="0.3">
      <c r="D49" s="88"/>
      <c r="E49" s="88"/>
      <c r="F49" s="88"/>
      <c r="G49" s="88"/>
      <c r="H49" s="88"/>
      <c r="I49" s="88"/>
      <c r="J49" s="88"/>
      <c r="P49" s="88"/>
    </row>
    <row r="58" spans="4:26" ht="18.75" x14ac:dyDescent="0.3">
      <c r="N58" s="89"/>
      <c r="Z58" s="89"/>
    </row>
    <row r="62" spans="4:26" x14ac:dyDescent="0.25">
      <c r="D62" s="90"/>
      <c r="E62" s="90"/>
      <c r="F62" s="90"/>
      <c r="G62" s="90"/>
      <c r="H62" s="90"/>
      <c r="I62" s="90"/>
      <c r="J62" s="90"/>
      <c r="K62" s="90"/>
      <c r="L62" s="90"/>
      <c r="M62" s="90"/>
      <c r="N62" s="90"/>
      <c r="P62" s="90"/>
      <c r="Q62" s="90"/>
    </row>
    <row r="63" spans="4:26" x14ac:dyDescent="0.25">
      <c r="D63" s="90"/>
      <c r="E63" s="90"/>
      <c r="F63" s="90"/>
      <c r="G63" s="90"/>
      <c r="H63" s="90"/>
      <c r="I63" s="90"/>
      <c r="J63" s="90"/>
      <c r="K63" s="90"/>
      <c r="L63" s="90"/>
      <c r="M63" s="90"/>
      <c r="N63" s="90"/>
      <c r="P63" s="90"/>
      <c r="Q63" s="90"/>
      <c r="R63" s="90"/>
      <c r="S63" s="90"/>
      <c r="T63" s="90"/>
      <c r="U63" s="90"/>
      <c r="V63" s="90"/>
      <c r="W63" s="90"/>
      <c r="X63" s="90"/>
      <c r="Y63" s="90"/>
      <c r="Z63" s="90"/>
    </row>
    <row r="64" spans="4:26" x14ac:dyDescent="0.25">
      <c r="D64" s="91"/>
      <c r="E64" s="90"/>
      <c r="F64" s="90"/>
      <c r="G64" s="90"/>
      <c r="H64" s="90"/>
      <c r="I64" s="90"/>
      <c r="J64" s="90"/>
      <c r="K64" s="90"/>
      <c r="L64" s="90"/>
      <c r="M64" s="90"/>
      <c r="N64" s="90"/>
      <c r="P64" s="91"/>
      <c r="Q64" s="90"/>
      <c r="R64" s="90"/>
      <c r="S64" s="90"/>
      <c r="T64" s="90"/>
      <c r="U64" s="90"/>
      <c r="V64" s="90"/>
      <c r="W64" s="90"/>
      <c r="X64" s="90"/>
      <c r="Y64" s="90"/>
      <c r="Z64" s="90"/>
    </row>
    <row r="65" spans="4:26" x14ac:dyDescent="0.25">
      <c r="D65" s="90"/>
      <c r="E65" s="90"/>
      <c r="F65" s="90"/>
      <c r="G65" s="90"/>
      <c r="H65" s="90"/>
      <c r="I65" s="90"/>
      <c r="J65" s="90"/>
      <c r="K65" s="90"/>
      <c r="L65" s="90"/>
      <c r="M65" s="90"/>
      <c r="N65" s="90"/>
      <c r="P65" s="90"/>
      <c r="Q65" s="90"/>
      <c r="R65" s="90"/>
      <c r="S65" s="90"/>
      <c r="T65" s="90"/>
      <c r="U65" s="90"/>
      <c r="V65" s="90"/>
      <c r="W65" s="90"/>
      <c r="X65" s="90"/>
      <c r="Y65" s="90"/>
      <c r="Z65" s="90"/>
    </row>
    <row r="66" spans="4:26" x14ac:dyDescent="0.25">
      <c r="D66" s="90"/>
      <c r="E66" s="90"/>
      <c r="F66" s="90"/>
      <c r="G66" s="90"/>
      <c r="H66" s="90"/>
      <c r="I66" s="90"/>
      <c r="J66" s="90"/>
      <c r="K66" s="90"/>
      <c r="L66" s="90"/>
      <c r="M66" s="90"/>
      <c r="N66" s="90"/>
      <c r="P66" s="90"/>
      <c r="Q66" s="90"/>
      <c r="R66" s="90"/>
      <c r="S66" s="90"/>
      <c r="T66" s="90"/>
      <c r="U66" s="90"/>
      <c r="V66" s="90"/>
      <c r="W66" s="90"/>
      <c r="X66" s="90"/>
      <c r="Y66" s="90"/>
      <c r="Z66" s="90"/>
    </row>
    <row r="67" spans="4:26" ht="18" x14ac:dyDescent="0.25">
      <c r="D67" s="90"/>
      <c r="E67" s="90"/>
      <c r="F67" s="90"/>
      <c r="G67" s="90"/>
      <c r="H67" s="90"/>
      <c r="I67" s="90"/>
      <c r="J67" s="90"/>
      <c r="K67" s="90"/>
      <c r="L67" s="90"/>
      <c r="M67" s="90"/>
      <c r="N67" s="92"/>
      <c r="P67" s="90"/>
      <c r="Q67" s="90"/>
      <c r="R67" s="90"/>
      <c r="S67" s="90"/>
      <c r="T67" s="90"/>
      <c r="U67" s="90"/>
      <c r="V67" s="90"/>
      <c r="W67" s="90"/>
      <c r="X67" s="90"/>
      <c r="Y67" s="90"/>
      <c r="Z67" s="92"/>
    </row>
    <row r="68" spans="4:26" x14ac:dyDescent="0.25"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</row>
    <row r="69" spans="4:26" x14ac:dyDescent="0.25">
      <c r="D69" s="90"/>
    </row>
    <row r="70" spans="4:26" x14ac:dyDescent="0.25">
      <c r="D70" s="90"/>
    </row>
    <row r="71" spans="4:26" x14ac:dyDescent="0.25">
      <c r="D71" s="90"/>
      <c r="E71" s="90"/>
      <c r="F71" s="90"/>
      <c r="G71" s="90"/>
      <c r="H71" s="90"/>
      <c r="I71" s="90"/>
      <c r="J71" s="90"/>
      <c r="K71" s="90"/>
      <c r="L71" s="90"/>
      <c r="M71" s="90"/>
      <c r="N71" s="90"/>
      <c r="P71" s="90"/>
      <c r="Q71" s="90"/>
      <c r="R71" s="90"/>
      <c r="S71" s="90"/>
      <c r="T71" s="90"/>
      <c r="U71" s="90"/>
      <c r="V71" s="90"/>
      <c r="W71" s="90"/>
      <c r="X71" s="90"/>
      <c r="Y71" s="90"/>
      <c r="Z71" s="90"/>
    </row>
    <row r="72" spans="4:26" x14ac:dyDescent="0.25">
      <c r="D72" s="90"/>
      <c r="E72" s="90"/>
      <c r="F72" s="90"/>
      <c r="G72" s="90"/>
      <c r="H72" s="90"/>
      <c r="I72" s="90"/>
      <c r="J72" s="90"/>
      <c r="K72" s="90"/>
      <c r="L72" s="90"/>
      <c r="M72" s="90"/>
      <c r="N72" s="90"/>
      <c r="P72" s="90"/>
      <c r="Q72" s="90"/>
      <c r="R72" s="90"/>
      <c r="S72" s="90"/>
      <c r="T72" s="90"/>
      <c r="U72" s="90"/>
      <c r="V72" s="90"/>
      <c r="W72" s="90"/>
      <c r="X72" s="90"/>
      <c r="Y72" s="90"/>
      <c r="Z72" s="90"/>
    </row>
    <row r="73" spans="4:26" x14ac:dyDescent="0.25">
      <c r="D73" s="91"/>
      <c r="E73" s="90"/>
      <c r="F73" s="90"/>
      <c r="G73" s="90"/>
      <c r="H73" s="90"/>
      <c r="I73" s="90"/>
      <c r="J73" s="90"/>
      <c r="K73" s="90"/>
      <c r="L73" s="90"/>
      <c r="M73" s="90"/>
      <c r="N73" s="90"/>
      <c r="P73" s="91"/>
      <c r="Q73" s="90"/>
      <c r="R73" s="90"/>
      <c r="S73" s="90"/>
      <c r="T73" s="90"/>
      <c r="U73" s="90"/>
      <c r="V73" s="90"/>
      <c r="W73" s="90"/>
      <c r="X73" s="90"/>
      <c r="Y73" s="90"/>
      <c r="Z73" s="90"/>
    </row>
    <row r="74" spans="4:26" x14ac:dyDescent="0.25">
      <c r="D74" s="90"/>
      <c r="E74" s="90"/>
      <c r="F74" s="90"/>
      <c r="G74" s="90"/>
      <c r="H74" s="90"/>
      <c r="I74" s="90"/>
      <c r="J74" s="90"/>
      <c r="K74" s="90"/>
      <c r="L74" s="90"/>
      <c r="M74" s="90"/>
      <c r="N74" s="90"/>
      <c r="P74" s="90"/>
      <c r="Q74" s="90"/>
      <c r="R74" s="90"/>
      <c r="S74" s="90"/>
      <c r="T74" s="90"/>
      <c r="U74" s="90"/>
      <c r="V74" s="90"/>
      <c r="W74" s="90"/>
      <c r="X74" s="90"/>
      <c r="Y74" s="90"/>
      <c r="Z74" s="90"/>
    </row>
    <row r="75" spans="4:26" x14ac:dyDescent="0.25">
      <c r="D75" s="90"/>
      <c r="E75" s="90"/>
      <c r="F75" s="90"/>
      <c r="G75" s="90"/>
      <c r="H75" s="90"/>
      <c r="I75" s="90"/>
      <c r="J75" s="90"/>
      <c r="K75" s="90"/>
      <c r="L75" s="90"/>
      <c r="M75" s="90"/>
      <c r="N75" s="90"/>
      <c r="P75" s="90"/>
      <c r="Q75" s="90"/>
      <c r="R75" s="90"/>
      <c r="S75" s="90"/>
      <c r="T75" s="90"/>
      <c r="U75" s="90"/>
      <c r="V75" s="90"/>
      <c r="W75" s="90"/>
      <c r="X75" s="90"/>
      <c r="Y75" s="90"/>
      <c r="Z75" s="90"/>
    </row>
    <row r="76" spans="4:26" ht="18" x14ac:dyDescent="0.25">
      <c r="D76" s="90"/>
      <c r="E76" s="90"/>
      <c r="F76" s="90"/>
      <c r="G76" s="90"/>
      <c r="H76" s="90"/>
      <c r="I76" s="90"/>
      <c r="J76" s="90"/>
      <c r="K76" s="90"/>
      <c r="L76" s="90"/>
      <c r="M76" s="90"/>
      <c r="N76" s="92"/>
      <c r="P76" s="90"/>
      <c r="Q76" s="90"/>
      <c r="R76" s="90"/>
      <c r="S76" s="90"/>
      <c r="T76" s="90"/>
      <c r="U76" s="90"/>
      <c r="V76" s="90"/>
      <c r="W76" s="90"/>
      <c r="X76" s="90"/>
      <c r="Y76" s="90"/>
      <c r="Z76" s="92"/>
    </row>
    <row r="77" spans="4:26" x14ac:dyDescent="0.25">
      <c r="D77" s="90"/>
      <c r="E77" s="90"/>
      <c r="F77" s="90"/>
      <c r="G77" s="90"/>
      <c r="H77" s="90"/>
      <c r="I77" s="90"/>
      <c r="J77" s="90"/>
      <c r="K77" s="90"/>
      <c r="L77" s="90"/>
      <c r="M77" s="90"/>
      <c r="N77" s="90"/>
      <c r="P77" s="90"/>
      <c r="Q77" s="90"/>
      <c r="R77" s="90"/>
      <c r="S77" s="90"/>
      <c r="T77" s="90"/>
      <c r="U77" s="90"/>
      <c r="V77" s="90"/>
      <c r="W77" s="90"/>
      <c r="X77" s="90"/>
      <c r="Y77" s="90"/>
      <c r="Z77" s="90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2:AF58"/>
  <sheetViews>
    <sheetView zoomScale="60" zoomScaleNormal="60" workbookViewId="0"/>
  </sheetViews>
  <sheetFormatPr defaultColWidth="9.140625" defaultRowHeight="15" x14ac:dyDescent="0.25"/>
  <cols>
    <col min="1" max="1" width="2.28515625" style="32" customWidth="1"/>
    <col min="2" max="2" width="23.85546875" style="32" customWidth="1"/>
    <col min="3" max="3" width="21.5703125" style="32" bestFit="1" customWidth="1"/>
    <col min="4" max="4" width="9.7109375" style="32" bestFit="1" customWidth="1"/>
    <col min="5" max="7" width="10.140625" style="32" bestFit="1" customWidth="1"/>
    <col min="8" max="8" width="13.28515625" style="32" bestFit="1" customWidth="1"/>
    <col min="9" max="9" width="3" style="32" customWidth="1"/>
    <col min="10" max="10" width="25.140625" style="32" bestFit="1" customWidth="1"/>
    <col min="11" max="11" width="21.5703125" style="32" bestFit="1" customWidth="1"/>
    <col min="12" max="12" width="9.7109375" style="32" bestFit="1" customWidth="1"/>
    <col min="13" max="14" width="10.140625" style="32" bestFit="1" customWidth="1"/>
    <col min="15" max="15" width="8.85546875" style="32" bestFit="1" customWidth="1"/>
    <col min="16" max="16" width="14" style="32" bestFit="1" customWidth="1"/>
    <col min="17" max="17" width="3.140625" style="32" customWidth="1"/>
    <col min="18" max="20" width="9.140625" style="32"/>
    <col min="21" max="21" width="13.7109375" style="32" bestFit="1" customWidth="1"/>
    <col min="22" max="22" width="9.140625" style="32"/>
    <col min="23" max="23" width="7.7109375" style="32" customWidth="1"/>
    <col min="24" max="30" width="9.140625" style="32"/>
    <col min="31" max="31" width="7.140625" style="32" bestFit="1" customWidth="1"/>
    <col min="32" max="32" width="15.42578125" style="32" customWidth="1"/>
    <col min="33" max="16384" width="9.140625" style="32"/>
  </cols>
  <sheetData>
    <row r="2" spans="2:24" s="33" customFormat="1" x14ac:dyDescent="0.25">
      <c r="B2" s="44" t="s">
        <v>239</v>
      </c>
      <c r="R2" s="234"/>
      <c r="S2" s="234"/>
      <c r="T2" s="234"/>
      <c r="U2" s="234"/>
      <c r="V2" s="234"/>
      <c r="W2" s="234"/>
      <c r="X2" s="234"/>
    </row>
    <row r="3" spans="2:24" s="33" customFormat="1" x14ac:dyDescent="0.25">
      <c r="B3" s="2" t="s">
        <v>50</v>
      </c>
      <c r="R3" s="234"/>
      <c r="S3" s="234"/>
      <c r="T3" s="234"/>
      <c r="U3" s="234"/>
      <c r="V3" s="234"/>
      <c r="W3" s="234"/>
      <c r="X3" s="234"/>
    </row>
    <row r="4" spans="2:24" s="33" customFormat="1" x14ac:dyDescent="0.25">
      <c r="B4" s="4" t="s">
        <v>4</v>
      </c>
      <c r="C4" s="5" t="s">
        <v>262</v>
      </c>
      <c r="D4" s="46" t="s">
        <v>143</v>
      </c>
      <c r="E4" s="46" t="s">
        <v>144</v>
      </c>
      <c r="F4" s="46" t="s">
        <v>145</v>
      </c>
      <c r="G4" s="5" t="s">
        <v>146</v>
      </c>
      <c r="H4" s="6" t="s">
        <v>238</v>
      </c>
      <c r="J4" s="4" t="s">
        <v>25</v>
      </c>
      <c r="K4" s="5" t="s">
        <v>262</v>
      </c>
      <c r="L4" s="46" t="s">
        <v>143</v>
      </c>
      <c r="M4" s="46" t="s">
        <v>144</v>
      </c>
      <c r="N4" s="46" t="s">
        <v>145</v>
      </c>
      <c r="O4" s="5" t="s">
        <v>146</v>
      </c>
      <c r="P4" s="6" t="s">
        <v>238</v>
      </c>
      <c r="R4" s="112"/>
      <c r="S4" s="234"/>
      <c r="T4" s="234"/>
      <c r="U4" s="234"/>
      <c r="V4" s="234"/>
      <c r="W4" s="234"/>
      <c r="X4" s="234"/>
    </row>
    <row r="5" spans="2:24" s="33" customFormat="1" x14ac:dyDescent="0.25">
      <c r="B5" s="43" t="s">
        <v>153</v>
      </c>
      <c r="C5" s="13" t="s">
        <v>5</v>
      </c>
      <c r="D5" s="13">
        <v>34</v>
      </c>
      <c r="E5" s="13">
        <v>40</v>
      </c>
      <c r="F5" s="13">
        <v>10</v>
      </c>
      <c r="G5" s="13">
        <v>20</v>
      </c>
      <c r="H5" s="167">
        <v>104</v>
      </c>
      <c r="J5" s="43" t="s">
        <v>153</v>
      </c>
      <c r="K5" s="13" t="s">
        <v>5</v>
      </c>
      <c r="L5" s="13">
        <v>1</v>
      </c>
      <c r="M5" s="13">
        <v>0</v>
      </c>
      <c r="N5" s="13">
        <v>1</v>
      </c>
      <c r="O5" s="13">
        <v>1</v>
      </c>
      <c r="P5" s="167">
        <v>3</v>
      </c>
      <c r="R5" s="234"/>
      <c r="S5" s="234"/>
      <c r="T5" s="3"/>
      <c r="U5" s="3"/>
      <c r="V5" s="235"/>
      <c r="W5" s="3"/>
      <c r="X5" s="3"/>
    </row>
    <row r="6" spans="2:24" s="33" customFormat="1" x14ac:dyDescent="0.25">
      <c r="B6" s="36"/>
      <c r="C6" s="15" t="s">
        <v>6</v>
      </c>
      <c r="D6" s="15">
        <v>32</v>
      </c>
      <c r="E6" s="15">
        <v>47</v>
      </c>
      <c r="F6" s="15">
        <v>14</v>
      </c>
      <c r="G6" s="15">
        <v>43</v>
      </c>
      <c r="H6" s="37">
        <v>136</v>
      </c>
      <c r="J6" s="36"/>
      <c r="K6" s="15" t="s">
        <v>6</v>
      </c>
      <c r="L6" s="15">
        <v>5</v>
      </c>
      <c r="M6" s="15">
        <v>0</v>
      </c>
      <c r="N6" s="15">
        <v>0</v>
      </c>
      <c r="O6" s="15">
        <v>0</v>
      </c>
      <c r="P6" s="37">
        <v>5</v>
      </c>
      <c r="R6" s="234"/>
      <c r="S6" s="234"/>
      <c r="T6" s="3"/>
      <c r="U6" s="3"/>
      <c r="V6" s="3"/>
      <c r="W6" s="3"/>
      <c r="X6" s="3"/>
    </row>
    <row r="7" spans="2:24" s="33" customFormat="1" x14ac:dyDescent="0.25">
      <c r="B7" s="36"/>
      <c r="C7" s="15" t="s">
        <v>7</v>
      </c>
      <c r="D7" s="15">
        <v>13</v>
      </c>
      <c r="E7" s="15">
        <v>9</v>
      </c>
      <c r="F7" s="15">
        <v>10</v>
      </c>
      <c r="G7" s="15">
        <v>19</v>
      </c>
      <c r="H7" s="37">
        <v>51</v>
      </c>
      <c r="J7" s="36"/>
      <c r="K7" s="15" t="s">
        <v>7</v>
      </c>
      <c r="L7" s="15">
        <v>6</v>
      </c>
      <c r="M7" s="15">
        <v>0</v>
      </c>
      <c r="N7" s="15">
        <v>17</v>
      </c>
      <c r="O7" s="15">
        <v>8</v>
      </c>
      <c r="P7" s="37">
        <v>31</v>
      </c>
      <c r="R7" s="234"/>
      <c r="S7" s="234"/>
      <c r="T7" s="3"/>
      <c r="U7" s="3"/>
      <c r="V7" s="3"/>
      <c r="W7" s="3"/>
      <c r="X7" s="3"/>
    </row>
    <row r="8" spans="2:24" s="33" customFormat="1" x14ac:dyDescent="0.25">
      <c r="B8" s="36"/>
      <c r="C8" s="15" t="s">
        <v>8</v>
      </c>
      <c r="D8" s="15">
        <v>69</v>
      </c>
      <c r="E8" s="15">
        <v>15</v>
      </c>
      <c r="F8" s="15">
        <v>26</v>
      </c>
      <c r="G8" s="15">
        <v>31</v>
      </c>
      <c r="H8" s="37">
        <v>141</v>
      </c>
      <c r="J8" s="36"/>
      <c r="K8" s="15" t="s">
        <v>8</v>
      </c>
      <c r="L8" s="15">
        <v>0</v>
      </c>
      <c r="M8" s="15">
        <v>0</v>
      </c>
      <c r="N8" s="15">
        <v>0</v>
      </c>
      <c r="O8" s="15">
        <v>0</v>
      </c>
      <c r="P8" s="37">
        <v>0</v>
      </c>
      <c r="R8" s="234"/>
      <c r="S8" s="234"/>
      <c r="T8" s="3"/>
      <c r="U8" s="3"/>
      <c r="V8" s="3"/>
      <c r="W8" s="3"/>
      <c r="X8" s="3"/>
    </row>
    <row r="9" spans="2:24" s="33" customFormat="1" x14ac:dyDescent="0.25">
      <c r="B9" s="36"/>
      <c r="C9" s="15" t="s">
        <v>14</v>
      </c>
      <c r="D9" s="15">
        <v>36</v>
      </c>
      <c r="E9" s="15">
        <v>48</v>
      </c>
      <c r="F9" s="15">
        <v>50</v>
      </c>
      <c r="G9" s="15">
        <v>56</v>
      </c>
      <c r="H9" s="37">
        <v>190</v>
      </c>
      <c r="J9" s="36"/>
      <c r="K9" s="15" t="s">
        <v>14</v>
      </c>
      <c r="L9" s="15">
        <v>4</v>
      </c>
      <c r="M9" s="15">
        <v>0</v>
      </c>
      <c r="N9" s="15">
        <v>0</v>
      </c>
      <c r="O9" s="15">
        <v>0</v>
      </c>
      <c r="P9" s="37">
        <v>4</v>
      </c>
      <c r="R9" s="234"/>
      <c r="S9" s="234"/>
      <c r="T9" s="3"/>
      <c r="U9" s="3"/>
      <c r="V9" s="3"/>
      <c r="W9" s="3"/>
      <c r="X9" s="3"/>
    </row>
    <row r="10" spans="2:24" s="33" customFormat="1" x14ac:dyDescent="0.25">
      <c r="B10" s="36"/>
      <c r="C10" s="15" t="s">
        <v>15</v>
      </c>
      <c r="D10" s="15">
        <v>38</v>
      </c>
      <c r="E10" s="15">
        <v>36</v>
      </c>
      <c r="F10" s="15">
        <v>82</v>
      </c>
      <c r="G10" s="15">
        <v>18</v>
      </c>
      <c r="H10" s="37">
        <v>174</v>
      </c>
      <c r="J10" s="36"/>
      <c r="K10" s="15" t="s">
        <v>15</v>
      </c>
      <c r="L10" s="15">
        <v>0</v>
      </c>
      <c r="M10" s="15">
        <v>2</v>
      </c>
      <c r="N10" s="15">
        <v>8</v>
      </c>
      <c r="O10" s="15">
        <v>0</v>
      </c>
      <c r="P10" s="37">
        <v>10</v>
      </c>
      <c r="R10" s="234"/>
      <c r="S10" s="234"/>
      <c r="T10" s="3"/>
      <c r="U10" s="3"/>
      <c r="V10" s="3"/>
      <c r="W10" s="3"/>
      <c r="X10" s="3"/>
    </row>
    <row r="11" spans="2:24" s="33" customFormat="1" x14ac:dyDescent="0.25">
      <c r="B11" s="36"/>
      <c r="C11" s="15" t="s">
        <v>19</v>
      </c>
      <c r="D11" s="15">
        <v>30</v>
      </c>
      <c r="E11" s="15">
        <v>45</v>
      </c>
      <c r="F11" s="15">
        <v>30</v>
      </c>
      <c r="G11" s="15">
        <v>49</v>
      </c>
      <c r="H11" s="37">
        <v>154</v>
      </c>
      <c r="J11" s="36"/>
      <c r="K11" s="15" t="s">
        <v>19</v>
      </c>
      <c r="L11" s="15">
        <v>5</v>
      </c>
      <c r="M11" s="15">
        <v>3</v>
      </c>
      <c r="N11" s="15">
        <v>0</v>
      </c>
      <c r="O11" s="15">
        <v>0</v>
      </c>
      <c r="P11" s="37">
        <v>8</v>
      </c>
      <c r="R11" s="234"/>
      <c r="S11" s="234"/>
      <c r="T11" s="234"/>
      <c r="U11" s="234"/>
      <c r="V11" s="234"/>
      <c r="W11" s="234"/>
      <c r="X11" s="234"/>
    </row>
    <row r="12" spans="2:24" s="33" customFormat="1" x14ac:dyDescent="0.25">
      <c r="B12" s="36"/>
      <c r="C12" s="15" t="s">
        <v>21</v>
      </c>
      <c r="D12" s="15">
        <v>30</v>
      </c>
      <c r="E12" s="15">
        <v>45</v>
      </c>
      <c r="F12" s="15">
        <v>35</v>
      </c>
      <c r="G12" s="15">
        <v>45</v>
      </c>
      <c r="H12" s="37">
        <v>155</v>
      </c>
      <c r="J12" s="36"/>
      <c r="K12" s="15" t="s">
        <v>21</v>
      </c>
      <c r="L12" s="15">
        <v>0</v>
      </c>
      <c r="M12" s="15">
        <v>0</v>
      </c>
      <c r="N12" s="15">
        <v>0</v>
      </c>
      <c r="O12" s="15">
        <v>0</v>
      </c>
      <c r="P12" s="37">
        <v>0</v>
      </c>
      <c r="R12" s="234"/>
      <c r="S12" s="234"/>
      <c r="T12" s="234"/>
      <c r="U12" s="234"/>
      <c r="V12" s="234"/>
      <c r="W12" s="234"/>
      <c r="X12" s="234"/>
    </row>
    <row r="13" spans="2:24" s="33" customFormat="1" x14ac:dyDescent="0.25">
      <c r="B13" s="36"/>
      <c r="C13" s="55" t="s">
        <v>56</v>
      </c>
      <c r="D13" s="55"/>
      <c r="E13" s="55"/>
      <c r="F13" s="55"/>
      <c r="G13" s="55"/>
      <c r="H13" s="17">
        <f>AVERAGE(H5:H12)</f>
        <v>138.125</v>
      </c>
      <c r="J13" s="36"/>
      <c r="K13" s="55" t="s">
        <v>56</v>
      </c>
      <c r="L13" s="55"/>
      <c r="M13" s="55"/>
      <c r="N13" s="55"/>
      <c r="O13" s="55"/>
      <c r="P13" s="17">
        <f>AVERAGE(P5:P12)</f>
        <v>7.625</v>
      </c>
      <c r="R13" s="234"/>
      <c r="S13" s="234"/>
      <c r="T13" s="234"/>
      <c r="U13" s="234"/>
      <c r="V13" s="234"/>
      <c r="W13" s="234"/>
      <c r="X13" s="234"/>
    </row>
    <row r="14" spans="2:24" s="33" customFormat="1" x14ac:dyDescent="0.25">
      <c r="B14" s="36"/>
      <c r="C14" s="16" t="s">
        <v>22</v>
      </c>
      <c r="D14" s="55"/>
      <c r="E14" s="55"/>
      <c r="F14" s="55"/>
      <c r="G14" s="55"/>
      <c r="H14" s="17">
        <f>_xlfn.STDEV.S(H5:H12)</f>
        <v>43.560917936018882</v>
      </c>
      <c r="J14" s="36"/>
      <c r="K14" s="16" t="s">
        <v>22</v>
      </c>
      <c r="L14" s="55"/>
      <c r="M14" s="55"/>
      <c r="N14" s="55"/>
      <c r="O14" s="55"/>
      <c r="P14" s="17">
        <f>_xlfn.STDEV.S(P5:P12)</f>
        <v>10.070288689293584</v>
      </c>
      <c r="R14" s="234"/>
      <c r="S14" s="234"/>
      <c r="T14" s="234"/>
      <c r="U14" s="234"/>
      <c r="V14" s="234"/>
      <c r="W14" s="234"/>
      <c r="X14" s="234"/>
    </row>
    <row r="15" spans="2:24" s="33" customFormat="1" x14ac:dyDescent="0.25">
      <c r="B15" s="4" t="s">
        <v>4</v>
      </c>
      <c r="C15" s="5" t="s">
        <v>262</v>
      </c>
      <c r="D15" s="46" t="s">
        <v>143</v>
      </c>
      <c r="E15" s="46" t="s">
        <v>144</v>
      </c>
      <c r="F15" s="46" t="s">
        <v>145</v>
      </c>
      <c r="G15" s="5" t="s">
        <v>146</v>
      </c>
      <c r="H15" s="6" t="s">
        <v>238</v>
      </c>
      <c r="J15" s="4" t="s">
        <v>25</v>
      </c>
      <c r="K15" s="5" t="s">
        <v>262</v>
      </c>
      <c r="L15" s="46" t="s">
        <v>143</v>
      </c>
      <c r="M15" s="46" t="s">
        <v>144</v>
      </c>
      <c r="N15" s="46" t="s">
        <v>145</v>
      </c>
      <c r="O15" s="5" t="s">
        <v>146</v>
      </c>
      <c r="P15" s="6" t="s">
        <v>238</v>
      </c>
      <c r="R15" s="234"/>
      <c r="S15" s="234"/>
      <c r="T15" s="234"/>
      <c r="U15" s="234"/>
      <c r="V15" s="234"/>
      <c r="W15" s="234"/>
      <c r="X15" s="234"/>
    </row>
    <row r="16" spans="2:24" s="33" customFormat="1" x14ac:dyDescent="0.25">
      <c r="B16" s="43" t="s">
        <v>157</v>
      </c>
      <c r="C16" s="13" t="s">
        <v>5</v>
      </c>
      <c r="D16" s="13">
        <v>95</v>
      </c>
      <c r="E16" s="13">
        <v>40</v>
      </c>
      <c r="F16" s="13">
        <v>36</v>
      </c>
      <c r="G16" s="13">
        <v>80</v>
      </c>
      <c r="H16" s="167">
        <v>251</v>
      </c>
      <c r="J16" s="43" t="s">
        <v>157</v>
      </c>
      <c r="K16" s="13" t="s">
        <v>5</v>
      </c>
      <c r="L16" s="13">
        <v>27</v>
      </c>
      <c r="M16" s="13">
        <v>43</v>
      </c>
      <c r="N16" s="13">
        <v>24</v>
      </c>
      <c r="O16" s="13">
        <v>53</v>
      </c>
      <c r="P16" s="167">
        <v>147</v>
      </c>
      <c r="R16" s="234"/>
      <c r="S16" s="234"/>
      <c r="T16" s="234"/>
      <c r="U16" s="234"/>
      <c r="V16" s="234"/>
      <c r="W16" s="234"/>
      <c r="X16" s="234"/>
    </row>
    <row r="17" spans="2:24" s="33" customFormat="1" x14ac:dyDescent="0.25">
      <c r="B17" s="36"/>
      <c r="C17" s="15" t="s">
        <v>6</v>
      </c>
      <c r="D17" s="15">
        <v>97</v>
      </c>
      <c r="E17" s="15">
        <v>80</v>
      </c>
      <c r="F17" s="15">
        <v>70</v>
      </c>
      <c r="G17" s="15">
        <v>77</v>
      </c>
      <c r="H17" s="37">
        <v>324</v>
      </c>
      <c r="J17" s="36"/>
      <c r="K17" s="15" t="s">
        <v>6</v>
      </c>
      <c r="L17" s="15">
        <v>20</v>
      </c>
      <c r="M17" s="15">
        <v>32</v>
      </c>
      <c r="N17" s="15">
        <v>12</v>
      </c>
      <c r="O17" s="15">
        <v>10</v>
      </c>
      <c r="P17" s="37">
        <v>74</v>
      </c>
      <c r="R17" s="234"/>
      <c r="S17" s="234"/>
      <c r="T17" s="234"/>
      <c r="U17" s="234"/>
      <c r="V17" s="234"/>
      <c r="W17" s="234"/>
      <c r="X17" s="234"/>
    </row>
    <row r="18" spans="2:24" s="33" customFormat="1" x14ac:dyDescent="0.25">
      <c r="B18" s="36"/>
      <c r="C18" s="15" t="s">
        <v>7</v>
      </c>
      <c r="D18" s="15">
        <v>98</v>
      </c>
      <c r="E18" s="15">
        <v>78</v>
      </c>
      <c r="F18" s="15">
        <v>120</v>
      </c>
      <c r="G18" s="15">
        <v>108</v>
      </c>
      <c r="H18" s="37">
        <v>404</v>
      </c>
      <c r="J18" s="36"/>
      <c r="K18" s="15" t="s">
        <v>7</v>
      </c>
      <c r="L18" s="15">
        <v>19</v>
      </c>
      <c r="M18" s="15">
        <v>29</v>
      </c>
      <c r="N18" s="15">
        <v>20</v>
      </c>
      <c r="O18" s="15">
        <v>22</v>
      </c>
      <c r="P18" s="37">
        <v>90</v>
      </c>
      <c r="R18" s="234"/>
      <c r="S18" s="234"/>
      <c r="T18" s="234"/>
      <c r="U18" s="234"/>
      <c r="V18" s="234"/>
      <c r="W18" s="234"/>
      <c r="X18" s="234"/>
    </row>
    <row r="19" spans="2:24" s="33" customFormat="1" x14ac:dyDescent="0.25">
      <c r="B19" s="36"/>
      <c r="C19" s="15" t="s">
        <v>8</v>
      </c>
      <c r="D19" s="15">
        <v>87</v>
      </c>
      <c r="E19" s="15">
        <v>120</v>
      </c>
      <c r="F19" s="15">
        <v>56</v>
      </c>
      <c r="G19" s="15">
        <v>114</v>
      </c>
      <c r="H19" s="37">
        <v>377</v>
      </c>
      <c r="J19" s="36"/>
      <c r="K19" s="15" t="s">
        <v>8</v>
      </c>
      <c r="L19" s="15">
        <v>33</v>
      </c>
      <c r="M19" s="15">
        <v>10</v>
      </c>
      <c r="N19" s="15">
        <v>12</v>
      </c>
      <c r="O19" s="15">
        <v>23</v>
      </c>
      <c r="P19" s="37">
        <v>78</v>
      </c>
      <c r="R19" s="234"/>
      <c r="S19" s="234"/>
      <c r="T19" s="234"/>
      <c r="U19" s="234"/>
      <c r="V19" s="234"/>
      <c r="W19" s="234"/>
      <c r="X19" s="234"/>
    </row>
    <row r="20" spans="2:24" s="33" customFormat="1" x14ac:dyDescent="0.25">
      <c r="B20" s="36"/>
      <c r="C20" s="15" t="s">
        <v>14</v>
      </c>
      <c r="D20" s="15">
        <v>89</v>
      </c>
      <c r="E20" s="15">
        <v>84</v>
      </c>
      <c r="F20" s="15">
        <v>36</v>
      </c>
      <c r="G20" s="15">
        <v>110</v>
      </c>
      <c r="H20" s="37">
        <v>319</v>
      </c>
      <c r="J20" s="36"/>
      <c r="K20" s="15" t="s">
        <v>14</v>
      </c>
      <c r="L20" s="15">
        <v>45</v>
      </c>
      <c r="M20" s="15">
        <v>15</v>
      </c>
      <c r="N20" s="15">
        <v>26</v>
      </c>
      <c r="O20" s="15">
        <v>23</v>
      </c>
      <c r="P20" s="37">
        <v>109</v>
      </c>
      <c r="R20" s="234"/>
      <c r="S20" s="234"/>
      <c r="T20" s="234"/>
      <c r="U20" s="234"/>
      <c r="V20" s="234"/>
      <c r="W20" s="234"/>
      <c r="X20" s="234"/>
    </row>
    <row r="21" spans="2:24" s="33" customFormat="1" x14ac:dyDescent="0.25">
      <c r="B21" s="36"/>
      <c r="C21" s="15" t="s">
        <v>15</v>
      </c>
      <c r="D21" s="15">
        <v>79</v>
      </c>
      <c r="E21" s="15">
        <v>100</v>
      </c>
      <c r="F21" s="15">
        <v>56</v>
      </c>
      <c r="G21" s="15">
        <v>77</v>
      </c>
      <c r="H21" s="37">
        <v>312</v>
      </c>
      <c r="J21" s="36"/>
      <c r="K21" s="15" t="s">
        <v>15</v>
      </c>
      <c r="L21" s="15">
        <v>36</v>
      </c>
      <c r="M21" s="15">
        <v>18</v>
      </c>
      <c r="N21" s="15">
        <v>32</v>
      </c>
      <c r="O21" s="15">
        <v>25</v>
      </c>
      <c r="P21" s="37">
        <v>111</v>
      </c>
      <c r="R21" s="234"/>
      <c r="S21" s="234"/>
      <c r="T21" s="234"/>
      <c r="U21" s="234"/>
      <c r="V21" s="234"/>
      <c r="W21" s="234"/>
      <c r="X21" s="234"/>
    </row>
    <row r="22" spans="2:24" s="33" customFormat="1" x14ac:dyDescent="0.25">
      <c r="B22" s="36"/>
      <c r="C22" s="15" t="s">
        <v>19</v>
      </c>
      <c r="D22" s="15">
        <v>87</v>
      </c>
      <c r="E22" s="15">
        <v>43</v>
      </c>
      <c r="F22" s="15">
        <v>130</v>
      </c>
      <c r="G22" s="15">
        <v>116</v>
      </c>
      <c r="H22" s="37">
        <v>376</v>
      </c>
      <c r="J22" s="36"/>
      <c r="K22" s="15" t="s">
        <v>19</v>
      </c>
      <c r="L22" s="15">
        <v>24</v>
      </c>
      <c r="M22" s="15">
        <v>15</v>
      </c>
      <c r="N22" s="15">
        <v>16</v>
      </c>
      <c r="O22" s="15">
        <v>20</v>
      </c>
      <c r="P22" s="37">
        <v>75</v>
      </c>
    </row>
    <row r="23" spans="2:24" s="33" customFormat="1" x14ac:dyDescent="0.25">
      <c r="B23" s="36"/>
      <c r="C23" s="15" t="s">
        <v>21</v>
      </c>
      <c r="D23" s="15">
        <v>90</v>
      </c>
      <c r="E23" s="15">
        <v>143</v>
      </c>
      <c r="F23" s="15">
        <v>53</v>
      </c>
      <c r="G23" s="15">
        <v>110</v>
      </c>
      <c r="H23" s="37">
        <v>396</v>
      </c>
      <c r="J23" s="36"/>
      <c r="K23" s="15" t="s">
        <v>21</v>
      </c>
      <c r="L23" s="15">
        <v>17</v>
      </c>
      <c r="M23" s="15">
        <v>24</v>
      </c>
      <c r="N23" s="15">
        <v>29</v>
      </c>
      <c r="O23" s="15">
        <v>13</v>
      </c>
      <c r="P23" s="37">
        <v>83</v>
      </c>
    </row>
    <row r="24" spans="2:24" s="33" customFormat="1" x14ac:dyDescent="0.25">
      <c r="B24" s="36"/>
      <c r="C24" s="55" t="s">
        <v>56</v>
      </c>
      <c r="D24" s="55"/>
      <c r="E24" s="55"/>
      <c r="F24" s="55"/>
      <c r="G24" s="55"/>
      <c r="H24" s="17">
        <f>AVERAGE(H16:H23)</f>
        <v>344.875</v>
      </c>
      <c r="J24" s="36"/>
      <c r="K24" s="55" t="s">
        <v>56</v>
      </c>
      <c r="L24" s="55"/>
      <c r="M24" s="55"/>
      <c r="N24" s="55"/>
      <c r="O24" s="55"/>
      <c r="P24" s="17">
        <f>AVERAGE(P16:P23)</f>
        <v>95.875</v>
      </c>
    </row>
    <row r="25" spans="2:24" s="33" customFormat="1" x14ac:dyDescent="0.25">
      <c r="B25" s="36"/>
      <c r="C25" s="16" t="s">
        <v>22</v>
      </c>
      <c r="D25" s="55"/>
      <c r="E25" s="55"/>
      <c r="F25" s="55"/>
      <c r="G25" s="55"/>
      <c r="H25" s="17">
        <f>_xlfn.STDEV.S(H16:H23)</f>
        <v>52.247863934464206</v>
      </c>
      <c r="J25" s="36"/>
      <c r="K25" s="16" t="s">
        <v>22</v>
      </c>
      <c r="L25" s="55"/>
      <c r="M25" s="55"/>
      <c r="N25" s="55"/>
      <c r="O25" s="55"/>
      <c r="P25" s="17">
        <f>_xlfn.STDEV.S(P16:P23)</f>
        <v>25.210187849926296</v>
      </c>
    </row>
    <row r="26" spans="2:24" s="33" customFormat="1" x14ac:dyDescent="0.25">
      <c r="B26" s="4" t="s">
        <v>4</v>
      </c>
      <c r="C26" s="5" t="s">
        <v>262</v>
      </c>
      <c r="D26" s="46" t="s">
        <v>143</v>
      </c>
      <c r="E26" s="46" t="s">
        <v>144</v>
      </c>
      <c r="F26" s="46" t="s">
        <v>145</v>
      </c>
      <c r="G26" s="5" t="s">
        <v>146</v>
      </c>
      <c r="H26" s="6" t="s">
        <v>238</v>
      </c>
      <c r="J26" s="4" t="s">
        <v>25</v>
      </c>
      <c r="K26" s="5" t="s">
        <v>262</v>
      </c>
      <c r="L26" s="46" t="s">
        <v>143</v>
      </c>
      <c r="M26" s="46" t="s">
        <v>144</v>
      </c>
      <c r="N26" s="46" t="s">
        <v>145</v>
      </c>
      <c r="O26" s="5" t="s">
        <v>146</v>
      </c>
      <c r="P26" s="6" t="s">
        <v>238</v>
      </c>
    </row>
    <row r="27" spans="2:24" s="33" customFormat="1" x14ac:dyDescent="0.25">
      <c r="B27" s="43" t="s">
        <v>158</v>
      </c>
      <c r="C27" s="13" t="s">
        <v>5</v>
      </c>
      <c r="D27" s="13">
        <v>79</v>
      </c>
      <c r="E27" s="13">
        <v>67</v>
      </c>
      <c r="F27" s="13">
        <v>56</v>
      </c>
      <c r="G27" s="13">
        <v>100</v>
      </c>
      <c r="H27" s="167">
        <v>302</v>
      </c>
      <c r="J27" s="43" t="s">
        <v>158</v>
      </c>
      <c r="K27" s="13" t="s">
        <v>5</v>
      </c>
      <c r="L27" s="13">
        <v>5</v>
      </c>
      <c r="M27" s="13">
        <v>9</v>
      </c>
      <c r="N27" s="13">
        <v>7</v>
      </c>
      <c r="O27" s="13">
        <v>1</v>
      </c>
      <c r="P27" s="167">
        <v>22</v>
      </c>
    </row>
    <row r="28" spans="2:24" s="33" customFormat="1" x14ac:dyDescent="0.25">
      <c r="B28" s="36"/>
      <c r="C28" s="15" t="s">
        <v>6</v>
      </c>
      <c r="D28" s="15">
        <v>98</v>
      </c>
      <c r="E28" s="15">
        <v>58</v>
      </c>
      <c r="F28" s="15">
        <v>53</v>
      </c>
      <c r="G28" s="15">
        <v>87</v>
      </c>
      <c r="H28" s="37">
        <v>296</v>
      </c>
      <c r="J28" s="36"/>
      <c r="K28" s="15" t="s">
        <v>6</v>
      </c>
      <c r="L28" s="15">
        <v>4</v>
      </c>
      <c r="M28" s="15">
        <v>3</v>
      </c>
      <c r="N28" s="15">
        <v>6</v>
      </c>
      <c r="O28" s="15">
        <v>5</v>
      </c>
      <c r="P28" s="37">
        <v>18</v>
      </c>
    </row>
    <row r="29" spans="2:24" s="33" customFormat="1" x14ac:dyDescent="0.25">
      <c r="B29" s="36"/>
      <c r="C29" s="15" t="s">
        <v>7</v>
      </c>
      <c r="D29" s="15">
        <v>67</v>
      </c>
      <c r="E29" s="15">
        <v>78</v>
      </c>
      <c r="F29" s="15">
        <v>20</v>
      </c>
      <c r="G29" s="15">
        <v>69</v>
      </c>
      <c r="H29" s="37">
        <v>234</v>
      </c>
      <c r="J29" s="36"/>
      <c r="K29" s="15" t="s">
        <v>7</v>
      </c>
      <c r="L29" s="15">
        <v>7</v>
      </c>
      <c r="M29" s="15">
        <v>6</v>
      </c>
      <c r="N29" s="15">
        <v>5</v>
      </c>
      <c r="O29" s="15">
        <v>4</v>
      </c>
      <c r="P29" s="37">
        <v>22</v>
      </c>
    </row>
    <row r="30" spans="2:24" s="33" customFormat="1" x14ac:dyDescent="0.25">
      <c r="B30" s="36"/>
      <c r="C30" s="15" t="s">
        <v>8</v>
      </c>
      <c r="D30" s="15">
        <v>50</v>
      </c>
      <c r="E30" s="15">
        <v>71</v>
      </c>
      <c r="F30" s="15">
        <v>36</v>
      </c>
      <c r="G30" s="15">
        <v>78</v>
      </c>
      <c r="H30" s="37">
        <v>235</v>
      </c>
      <c r="J30" s="36"/>
      <c r="K30" s="15" t="s">
        <v>8</v>
      </c>
      <c r="L30" s="15">
        <v>5</v>
      </c>
      <c r="M30" s="15">
        <v>11</v>
      </c>
      <c r="N30" s="15">
        <v>6</v>
      </c>
      <c r="O30" s="15">
        <v>7</v>
      </c>
      <c r="P30" s="37">
        <v>29</v>
      </c>
    </row>
    <row r="31" spans="2:24" s="33" customFormat="1" x14ac:dyDescent="0.25">
      <c r="B31" s="36"/>
      <c r="C31" s="15" t="s">
        <v>14</v>
      </c>
      <c r="D31" s="15">
        <v>89</v>
      </c>
      <c r="E31" s="15">
        <v>78</v>
      </c>
      <c r="F31" s="15">
        <v>87</v>
      </c>
      <c r="G31" s="15">
        <v>85</v>
      </c>
      <c r="H31" s="37">
        <v>339</v>
      </c>
      <c r="J31" s="36"/>
      <c r="K31" s="15" t="s">
        <v>14</v>
      </c>
      <c r="L31" s="15">
        <v>3</v>
      </c>
      <c r="M31" s="15">
        <v>3</v>
      </c>
      <c r="N31" s="15">
        <v>2</v>
      </c>
      <c r="O31" s="15">
        <v>5</v>
      </c>
      <c r="P31" s="37">
        <v>13</v>
      </c>
    </row>
    <row r="32" spans="2:24" s="33" customFormat="1" x14ac:dyDescent="0.25">
      <c r="B32" s="36"/>
      <c r="C32" s="15" t="s">
        <v>15</v>
      </c>
      <c r="D32" s="15">
        <v>45</v>
      </c>
      <c r="E32" s="15">
        <v>109</v>
      </c>
      <c r="F32" s="15">
        <v>50</v>
      </c>
      <c r="G32" s="15">
        <v>76</v>
      </c>
      <c r="H32" s="37">
        <v>280</v>
      </c>
      <c r="J32" s="36"/>
      <c r="K32" s="15" t="s">
        <v>15</v>
      </c>
      <c r="L32" s="15">
        <v>5</v>
      </c>
      <c r="M32" s="15">
        <v>8</v>
      </c>
      <c r="N32" s="15">
        <v>5</v>
      </c>
      <c r="O32" s="15">
        <v>4</v>
      </c>
      <c r="P32" s="37">
        <v>22</v>
      </c>
    </row>
    <row r="33" spans="2:32" s="33" customFormat="1" x14ac:dyDescent="0.25">
      <c r="B33" s="36"/>
      <c r="C33" s="15" t="s">
        <v>19</v>
      </c>
      <c r="D33" s="15">
        <v>39</v>
      </c>
      <c r="E33" s="15">
        <v>78</v>
      </c>
      <c r="F33" s="15">
        <v>88</v>
      </c>
      <c r="G33" s="15">
        <v>85</v>
      </c>
      <c r="H33" s="37">
        <v>290</v>
      </c>
      <c r="J33" s="36"/>
      <c r="K33" s="15" t="s">
        <v>19</v>
      </c>
      <c r="L33" s="15">
        <v>7</v>
      </c>
      <c r="M33" s="15">
        <v>7</v>
      </c>
      <c r="N33" s="15">
        <v>4</v>
      </c>
      <c r="O33" s="15">
        <v>3</v>
      </c>
      <c r="P33" s="37">
        <v>21</v>
      </c>
    </row>
    <row r="34" spans="2:32" s="33" customFormat="1" x14ac:dyDescent="0.25">
      <c r="B34" s="36"/>
      <c r="C34" s="15" t="s">
        <v>21</v>
      </c>
      <c r="D34" s="15">
        <v>86</v>
      </c>
      <c r="E34" s="15">
        <v>54</v>
      </c>
      <c r="F34" s="15">
        <v>67</v>
      </c>
      <c r="G34" s="15">
        <v>36</v>
      </c>
      <c r="H34" s="37">
        <v>243</v>
      </c>
      <c r="J34" s="36"/>
      <c r="K34" s="15" t="s">
        <v>21</v>
      </c>
      <c r="L34" s="15">
        <v>7</v>
      </c>
      <c r="M34" s="15">
        <v>3</v>
      </c>
      <c r="N34" s="15">
        <v>9</v>
      </c>
      <c r="O34" s="15">
        <v>7</v>
      </c>
      <c r="P34" s="37">
        <v>26</v>
      </c>
    </row>
    <row r="35" spans="2:32" s="33" customFormat="1" x14ac:dyDescent="0.25">
      <c r="B35" s="36"/>
      <c r="C35" s="55" t="s">
        <v>56</v>
      </c>
      <c r="D35" s="55"/>
      <c r="E35" s="55"/>
      <c r="F35" s="55"/>
      <c r="G35" s="55"/>
      <c r="H35" s="17">
        <f>AVERAGE(H27:H34)</f>
        <v>277.375</v>
      </c>
      <c r="J35" s="36"/>
      <c r="K35" s="55" t="s">
        <v>56</v>
      </c>
      <c r="L35" s="55"/>
      <c r="M35" s="55"/>
      <c r="N35" s="55"/>
      <c r="O35" s="55"/>
      <c r="P35" s="17">
        <f>AVERAGE(P27:P34)</f>
        <v>21.625</v>
      </c>
    </row>
    <row r="36" spans="2:32" s="33" customFormat="1" x14ac:dyDescent="0.25">
      <c r="B36" s="36"/>
      <c r="C36" s="16" t="s">
        <v>22</v>
      </c>
      <c r="D36" s="55"/>
      <c r="E36" s="55"/>
      <c r="F36" s="55"/>
      <c r="G36" s="55"/>
      <c r="H36" s="17">
        <f>_xlfn.STDEV.S(H27:H34)</f>
        <v>37.370490650091433</v>
      </c>
      <c r="J36" s="36"/>
      <c r="K36" s="16" t="s">
        <v>22</v>
      </c>
      <c r="L36" s="55"/>
      <c r="M36" s="55"/>
      <c r="N36" s="55"/>
      <c r="O36" s="55"/>
      <c r="P36" s="17">
        <f>_xlfn.STDEV.S(P27:P34)</f>
        <v>4.8088460154178359</v>
      </c>
    </row>
    <row r="37" spans="2:32" s="33" customFormat="1" x14ac:dyDescent="0.25">
      <c r="B37" s="4" t="s">
        <v>4</v>
      </c>
      <c r="C37" s="5" t="s">
        <v>262</v>
      </c>
      <c r="D37" s="46" t="s">
        <v>143</v>
      </c>
      <c r="E37" s="46" t="s">
        <v>144</v>
      </c>
      <c r="F37" s="46" t="s">
        <v>145</v>
      </c>
      <c r="G37" s="5" t="s">
        <v>146</v>
      </c>
      <c r="H37" s="6" t="s">
        <v>238</v>
      </c>
      <c r="J37" s="4" t="s">
        <v>25</v>
      </c>
      <c r="K37" s="5" t="s">
        <v>262</v>
      </c>
      <c r="L37" s="46" t="s">
        <v>143</v>
      </c>
      <c r="M37" s="46" t="s">
        <v>144</v>
      </c>
      <c r="N37" s="46" t="s">
        <v>145</v>
      </c>
      <c r="O37" s="5" t="s">
        <v>146</v>
      </c>
      <c r="P37" s="6" t="s">
        <v>238</v>
      </c>
    </row>
    <row r="38" spans="2:32" s="33" customFormat="1" ht="14.1" customHeight="1" x14ac:dyDescent="0.25">
      <c r="B38" s="43" t="s">
        <v>159</v>
      </c>
      <c r="C38" s="13" t="s">
        <v>5</v>
      </c>
      <c r="D38" s="13">
        <v>56</v>
      </c>
      <c r="E38" s="13">
        <v>86</v>
      </c>
      <c r="F38" s="13">
        <v>73</v>
      </c>
      <c r="G38" s="13">
        <v>44</v>
      </c>
      <c r="H38" s="167">
        <v>259</v>
      </c>
      <c r="J38" s="43" t="s">
        <v>159</v>
      </c>
      <c r="K38" s="13" t="s">
        <v>5</v>
      </c>
      <c r="L38" s="13">
        <v>5</v>
      </c>
      <c r="M38" s="13">
        <v>8</v>
      </c>
      <c r="N38" s="13">
        <v>2</v>
      </c>
      <c r="O38" s="13">
        <v>8</v>
      </c>
      <c r="P38" s="167">
        <v>23</v>
      </c>
      <c r="V38" s="21"/>
    </row>
    <row r="39" spans="2:32" s="33" customFormat="1" x14ac:dyDescent="0.25">
      <c r="B39" s="36"/>
      <c r="C39" s="15" t="s">
        <v>6</v>
      </c>
      <c r="D39" s="15">
        <v>50</v>
      </c>
      <c r="E39" s="15">
        <v>89</v>
      </c>
      <c r="F39" s="15">
        <v>41</v>
      </c>
      <c r="G39" s="15">
        <v>58</v>
      </c>
      <c r="H39" s="37">
        <v>238</v>
      </c>
      <c r="J39" s="36"/>
      <c r="K39" s="15" t="s">
        <v>6</v>
      </c>
      <c r="L39" s="15">
        <v>13</v>
      </c>
      <c r="M39" s="15">
        <v>0</v>
      </c>
      <c r="N39" s="15">
        <v>22</v>
      </c>
      <c r="O39" s="15">
        <v>6</v>
      </c>
      <c r="P39" s="37">
        <v>41</v>
      </c>
    </row>
    <row r="40" spans="2:32" s="33" customFormat="1" ht="14.1" customHeight="1" x14ac:dyDescent="0.25">
      <c r="B40" s="36"/>
      <c r="C40" s="15" t="s">
        <v>7</v>
      </c>
      <c r="D40" s="15">
        <v>101</v>
      </c>
      <c r="E40" s="15">
        <v>42</v>
      </c>
      <c r="F40" s="15">
        <v>61</v>
      </c>
      <c r="G40" s="15">
        <v>46</v>
      </c>
      <c r="H40" s="37">
        <v>250</v>
      </c>
      <c r="J40" s="36"/>
      <c r="K40" s="15" t="s">
        <v>7</v>
      </c>
      <c r="L40" s="15">
        <v>12</v>
      </c>
      <c r="M40" s="15">
        <v>10</v>
      </c>
      <c r="N40" s="15">
        <v>12</v>
      </c>
      <c r="O40" s="15">
        <v>7</v>
      </c>
      <c r="P40" s="37">
        <v>41</v>
      </c>
      <c r="V40" s="21"/>
    </row>
    <row r="41" spans="2:32" s="33" customFormat="1" x14ac:dyDescent="0.25">
      <c r="B41" s="36"/>
      <c r="C41" s="15" t="s">
        <v>8</v>
      </c>
      <c r="D41" s="15">
        <v>18</v>
      </c>
      <c r="E41" s="15">
        <v>29</v>
      </c>
      <c r="F41" s="15">
        <v>58</v>
      </c>
      <c r="G41" s="15">
        <v>22</v>
      </c>
      <c r="H41" s="37">
        <v>127</v>
      </c>
      <c r="J41" s="36"/>
      <c r="K41" s="15" t="s">
        <v>8</v>
      </c>
      <c r="L41" s="15">
        <v>8</v>
      </c>
      <c r="M41" s="15">
        <v>0</v>
      </c>
      <c r="N41" s="15">
        <v>13</v>
      </c>
      <c r="O41" s="15">
        <v>10</v>
      </c>
      <c r="P41" s="37">
        <v>31</v>
      </c>
    </row>
    <row r="42" spans="2:32" s="33" customFormat="1" ht="14.1" customHeight="1" x14ac:dyDescent="0.25">
      <c r="B42" s="36"/>
      <c r="C42" s="15" t="s">
        <v>14</v>
      </c>
      <c r="D42" s="15">
        <v>43</v>
      </c>
      <c r="E42" s="15">
        <v>45</v>
      </c>
      <c r="F42" s="15">
        <v>21</v>
      </c>
      <c r="G42" s="15">
        <v>49</v>
      </c>
      <c r="H42" s="37">
        <v>158</v>
      </c>
      <c r="J42" s="36"/>
      <c r="K42" s="15" t="s">
        <v>14</v>
      </c>
      <c r="L42" s="15">
        <v>7</v>
      </c>
      <c r="M42" s="15">
        <v>4</v>
      </c>
      <c r="N42" s="15">
        <v>1</v>
      </c>
      <c r="O42" s="15">
        <v>0</v>
      </c>
      <c r="P42" s="37">
        <v>12</v>
      </c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</row>
    <row r="43" spans="2:32" s="33" customFormat="1" x14ac:dyDescent="0.25">
      <c r="B43" s="36"/>
      <c r="C43" s="15" t="s">
        <v>15</v>
      </c>
      <c r="D43" s="15">
        <v>65</v>
      </c>
      <c r="E43" s="15">
        <v>49</v>
      </c>
      <c r="F43" s="15">
        <v>37</v>
      </c>
      <c r="G43" s="15">
        <v>65</v>
      </c>
      <c r="H43" s="37">
        <v>216</v>
      </c>
      <c r="J43" s="36"/>
      <c r="K43" s="15" t="s">
        <v>15</v>
      </c>
      <c r="L43" s="15">
        <v>6</v>
      </c>
      <c r="M43" s="15">
        <v>2</v>
      </c>
      <c r="N43" s="15">
        <v>5</v>
      </c>
      <c r="O43" s="15">
        <v>7</v>
      </c>
      <c r="P43" s="37">
        <v>20</v>
      </c>
    </row>
    <row r="44" spans="2:32" s="33" customFormat="1" x14ac:dyDescent="0.25">
      <c r="B44" s="36"/>
      <c r="C44" s="15" t="s">
        <v>19</v>
      </c>
      <c r="D44" s="15">
        <v>101</v>
      </c>
      <c r="E44" s="15">
        <v>36</v>
      </c>
      <c r="F44" s="15">
        <v>72</v>
      </c>
      <c r="G44" s="15">
        <v>54</v>
      </c>
      <c r="H44" s="37">
        <v>263</v>
      </c>
      <c r="J44" s="36"/>
      <c r="K44" s="15" t="s">
        <v>19</v>
      </c>
      <c r="L44" s="15">
        <v>0</v>
      </c>
      <c r="M44" s="15">
        <v>0</v>
      </c>
      <c r="N44" s="15">
        <v>4</v>
      </c>
      <c r="O44" s="15">
        <v>7</v>
      </c>
      <c r="P44" s="37">
        <v>11</v>
      </c>
    </row>
    <row r="45" spans="2:32" s="33" customFormat="1" x14ac:dyDescent="0.25">
      <c r="B45" s="36"/>
      <c r="C45" s="15" t="s">
        <v>21</v>
      </c>
      <c r="D45" s="15">
        <v>34</v>
      </c>
      <c r="E45" s="15">
        <v>42</v>
      </c>
      <c r="F45" s="15">
        <v>48</v>
      </c>
      <c r="G45" s="15">
        <v>19</v>
      </c>
      <c r="H45" s="37">
        <v>143</v>
      </c>
      <c r="J45" s="36"/>
      <c r="K45" s="15" t="s">
        <v>21</v>
      </c>
      <c r="L45" s="15">
        <v>7</v>
      </c>
      <c r="M45" s="15">
        <v>9</v>
      </c>
      <c r="N45" s="15">
        <v>0</v>
      </c>
      <c r="O45" s="15">
        <v>0</v>
      </c>
      <c r="P45" s="37">
        <v>16</v>
      </c>
      <c r="U45" s="21"/>
      <c r="AD45" s="21"/>
    </row>
    <row r="46" spans="2:32" s="33" customFormat="1" x14ac:dyDescent="0.25">
      <c r="B46" s="36"/>
      <c r="C46" s="55" t="s">
        <v>56</v>
      </c>
      <c r="D46" s="55"/>
      <c r="E46" s="55"/>
      <c r="F46" s="55"/>
      <c r="G46" s="55"/>
      <c r="H46" s="17">
        <f>AVERAGE(H38:H45)</f>
        <v>206.75</v>
      </c>
      <c r="J46" s="36"/>
      <c r="K46" s="55" t="s">
        <v>56</v>
      </c>
      <c r="L46" s="55"/>
      <c r="M46" s="55"/>
      <c r="N46" s="55"/>
      <c r="O46" s="55"/>
      <c r="P46" s="17">
        <f>AVERAGE(P38:P45)</f>
        <v>24.375</v>
      </c>
    </row>
    <row r="47" spans="2:32" s="33" customFormat="1" x14ac:dyDescent="0.25">
      <c r="B47" s="36"/>
      <c r="C47" s="16" t="s">
        <v>22</v>
      </c>
      <c r="D47" s="55"/>
      <c r="E47" s="55"/>
      <c r="F47" s="55"/>
      <c r="G47" s="55"/>
      <c r="H47" s="17">
        <f>_xlfn.STDEV.S(H38:H45)</f>
        <v>55.584555922871751</v>
      </c>
      <c r="J47" s="36"/>
      <c r="K47" s="16" t="s">
        <v>22</v>
      </c>
      <c r="L47" s="55"/>
      <c r="M47" s="55"/>
      <c r="N47" s="55"/>
      <c r="O47" s="55"/>
      <c r="P47" s="17">
        <f>_xlfn.STDEV.S(P38:P45)</f>
        <v>12.070477561862603</v>
      </c>
    </row>
    <row r="48" spans="2:32" s="33" customFormat="1" x14ac:dyDescent="0.25">
      <c r="B48" s="4" t="s">
        <v>4</v>
      </c>
      <c r="C48" s="5" t="s">
        <v>262</v>
      </c>
      <c r="D48" s="46" t="s">
        <v>143</v>
      </c>
      <c r="E48" s="46" t="s">
        <v>144</v>
      </c>
      <c r="F48" s="46" t="s">
        <v>145</v>
      </c>
      <c r="G48" s="5" t="s">
        <v>146</v>
      </c>
      <c r="H48" s="6" t="s">
        <v>238</v>
      </c>
      <c r="J48" s="4" t="s">
        <v>25</v>
      </c>
      <c r="K48" s="5" t="s">
        <v>262</v>
      </c>
      <c r="L48" s="46" t="s">
        <v>143</v>
      </c>
      <c r="M48" s="46" t="s">
        <v>144</v>
      </c>
      <c r="N48" s="46" t="s">
        <v>145</v>
      </c>
      <c r="O48" s="5" t="s">
        <v>146</v>
      </c>
      <c r="P48" s="6" t="s">
        <v>238</v>
      </c>
    </row>
    <row r="49" spans="2:16" s="33" customFormat="1" x14ac:dyDescent="0.25">
      <c r="B49" s="43" t="s">
        <v>250</v>
      </c>
      <c r="C49" s="13" t="s">
        <v>5</v>
      </c>
      <c r="D49" s="13">
        <v>0</v>
      </c>
      <c r="E49" s="13">
        <v>0</v>
      </c>
      <c r="F49" s="13">
        <v>0</v>
      </c>
      <c r="G49" s="13">
        <v>0</v>
      </c>
      <c r="H49" s="167">
        <v>0</v>
      </c>
      <c r="J49" s="43" t="s">
        <v>250</v>
      </c>
      <c r="K49" s="13" t="s">
        <v>5</v>
      </c>
      <c r="L49" s="13">
        <v>0</v>
      </c>
      <c r="M49" s="13">
        <v>0</v>
      </c>
      <c r="N49" s="13">
        <v>0</v>
      </c>
      <c r="O49" s="13">
        <v>0</v>
      </c>
      <c r="P49" s="167">
        <v>0</v>
      </c>
    </row>
    <row r="50" spans="2:16" s="33" customFormat="1" x14ac:dyDescent="0.25">
      <c r="B50" s="36"/>
      <c r="C50" s="15" t="s">
        <v>6</v>
      </c>
      <c r="D50" s="15">
        <v>0</v>
      </c>
      <c r="E50" s="15">
        <v>0</v>
      </c>
      <c r="F50" s="15">
        <v>0</v>
      </c>
      <c r="G50" s="15">
        <v>0</v>
      </c>
      <c r="H50" s="37">
        <v>0</v>
      </c>
      <c r="J50" s="36"/>
      <c r="K50" s="15" t="s">
        <v>6</v>
      </c>
      <c r="L50" s="15">
        <v>0</v>
      </c>
      <c r="M50" s="15">
        <v>0</v>
      </c>
      <c r="N50" s="15">
        <v>0</v>
      </c>
      <c r="O50" s="15">
        <v>0</v>
      </c>
      <c r="P50" s="37">
        <v>0</v>
      </c>
    </row>
    <row r="51" spans="2:16" s="33" customFormat="1" x14ac:dyDescent="0.25">
      <c r="B51" s="36"/>
      <c r="C51" s="15" t="s">
        <v>7</v>
      </c>
      <c r="D51" s="15">
        <v>0</v>
      </c>
      <c r="E51" s="15">
        <v>0</v>
      </c>
      <c r="F51" s="15">
        <v>0</v>
      </c>
      <c r="G51" s="15">
        <v>0</v>
      </c>
      <c r="H51" s="37">
        <v>0</v>
      </c>
      <c r="J51" s="36"/>
      <c r="K51" s="15" t="s">
        <v>7</v>
      </c>
      <c r="L51" s="15">
        <v>0</v>
      </c>
      <c r="M51" s="15">
        <v>0</v>
      </c>
      <c r="N51" s="15">
        <v>0</v>
      </c>
      <c r="O51" s="15">
        <v>0</v>
      </c>
      <c r="P51" s="37">
        <v>0</v>
      </c>
    </row>
    <row r="52" spans="2:16" s="33" customFormat="1" x14ac:dyDescent="0.25">
      <c r="B52" s="36"/>
      <c r="C52" s="15" t="s">
        <v>8</v>
      </c>
      <c r="D52" s="15">
        <v>0</v>
      </c>
      <c r="E52" s="15">
        <v>0</v>
      </c>
      <c r="F52" s="15">
        <v>0</v>
      </c>
      <c r="G52" s="15">
        <v>0</v>
      </c>
      <c r="H52" s="37">
        <v>0</v>
      </c>
      <c r="J52" s="36"/>
      <c r="K52" s="15" t="s">
        <v>8</v>
      </c>
      <c r="L52" s="15">
        <v>0</v>
      </c>
      <c r="M52" s="15">
        <v>0</v>
      </c>
      <c r="N52" s="15">
        <v>0</v>
      </c>
      <c r="O52" s="15">
        <v>0</v>
      </c>
      <c r="P52" s="37">
        <v>0</v>
      </c>
    </row>
    <row r="53" spans="2:16" s="33" customFormat="1" x14ac:dyDescent="0.25">
      <c r="B53" s="36"/>
      <c r="C53" s="15" t="s">
        <v>14</v>
      </c>
      <c r="D53" s="15">
        <v>0</v>
      </c>
      <c r="E53" s="15">
        <v>0</v>
      </c>
      <c r="F53" s="15">
        <v>0</v>
      </c>
      <c r="G53" s="15">
        <v>0</v>
      </c>
      <c r="H53" s="37">
        <v>0</v>
      </c>
      <c r="J53" s="36"/>
      <c r="K53" s="15" t="s">
        <v>14</v>
      </c>
      <c r="L53" s="15">
        <v>0</v>
      </c>
      <c r="M53" s="15">
        <v>0</v>
      </c>
      <c r="N53" s="15">
        <v>0</v>
      </c>
      <c r="O53" s="15">
        <v>0</v>
      </c>
      <c r="P53" s="37">
        <v>0</v>
      </c>
    </row>
    <row r="54" spans="2:16" s="33" customFormat="1" x14ac:dyDescent="0.25">
      <c r="B54" s="36"/>
      <c r="C54" s="15" t="s">
        <v>15</v>
      </c>
      <c r="D54" s="15">
        <v>0</v>
      </c>
      <c r="E54" s="15">
        <v>0</v>
      </c>
      <c r="F54" s="15">
        <v>0</v>
      </c>
      <c r="G54" s="15">
        <v>0</v>
      </c>
      <c r="H54" s="37">
        <v>0</v>
      </c>
      <c r="J54" s="36"/>
      <c r="K54" s="15" t="s">
        <v>15</v>
      </c>
      <c r="L54" s="15">
        <v>0</v>
      </c>
      <c r="M54" s="15">
        <v>0</v>
      </c>
      <c r="N54" s="15">
        <v>0</v>
      </c>
      <c r="O54" s="15">
        <v>0</v>
      </c>
      <c r="P54" s="37">
        <v>0</v>
      </c>
    </row>
    <row r="55" spans="2:16" s="33" customFormat="1" x14ac:dyDescent="0.25">
      <c r="B55" s="36"/>
      <c r="C55" s="15" t="s">
        <v>19</v>
      </c>
      <c r="D55" s="15">
        <v>0</v>
      </c>
      <c r="E55" s="15">
        <v>0</v>
      </c>
      <c r="F55" s="15">
        <v>0</v>
      </c>
      <c r="G55" s="15">
        <v>0</v>
      </c>
      <c r="H55" s="37">
        <v>0</v>
      </c>
      <c r="J55" s="36"/>
      <c r="K55" s="15" t="s">
        <v>19</v>
      </c>
      <c r="L55" s="15">
        <v>0</v>
      </c>
      <c r="M55" s="15">
        <v>0</v>
      </c>
      <c r="N55" s="15">
        <v>0</v>
      </c>
      <c r="O55" s="15">
        <v>0</v>
      </c>
      <c r="P55" s="37">
        <v>0</v>
      </c>
    </row>
    <row r="56" spans="2:16" s="33" customFormat="1" x14ac:dyDescent="0.25">
      <c r="B56" s="36"/>
      <c r="C56" s="15" t="s">
        <v>21</v>
      </c>
      <c r="D56" s="15">
        <v>0</v>
      </c>
      <c r="E56" s="15">
        <v>0</v>
      </c>
      <c r="F56" s="15">
        <v>0</v>
      </c>
      <c r="G56" s="15">
        <v>0</v>
      </c>
      <c r="H56" s="37">
        <v>0</v>
      </c>
      <c r="J56" s="36"/>
      <c r="K56" s="15" t="s">
        <v>21</v>
      </c>
      <c r="L56" s="15">
        <v>0</v>
      </c>
      <c r="M56" s="15">
        <v>0</v>
      </c>
      <c r="N56" s="15">
        <v>0</v>
      </c>
      <c r="O56" s="15">
        <v>0</v>
      </c>
      <c r="P56" s="37">
        <v>0</v>
      </c>
    </row>
    <row r="57" spans="2:16" s="33" customFormat="1" x14ac:dyDescent="0.25">
      <c r="B57" s="36"/>
      <c r="C57" s="55" t="s">
        <v>56</v>
      </c>
      <c r="D57" s="55"/>
      <c r="E57" s="55"/>
      <c r="F57" s="55"/>
      <c r="G57" s="55"/>
      <c r="H57" s="17">
        <f>AVERAGE(H49:H56)</f>
        <v>0</v>
      </c>
      <c r="J57" s="36"/>
      <c r="K57" s="55" t="s">
        <v>56</v>
      </c>
      <c r="L57" s="55"/>
      <c r="M57" s="55"/>
      <c r="N57" s="55"/>
      <c r="O57" s="55"/>
      <c r="P57" s="17">
        <f>AVERAGE(P49:P56)</f>
        <v>0</v>
      </c>
    </row>
    <row r="58" spans="2:16" s="33" customFormat="1" x14ac:dyDescent="0.25">
      <c r="B58" s="169"/>
      <c r="C58" s="19" t="s">
        <v>22</v>
      </c>
      <c r="D58" s="56"/>
      <c r="E58" s="56"/>
      <c r="F58" s="56"/>
      <c r="G58" s="56"/>
      <c r="H58" s="20">
        <f>_xlfn.STDEV.S(H49:H56)</f>
        <v>0</v>
      </c>
      <c r="J58" s="169"/>
      <c r="K58" s="19" t="s">
        <v>22</v>
      </c>
      <c r="L58" s="56"/>
      <c r="M58" s="56"/>
      <c r="N58" s="56"/>
      <c r="O58" s="56"/>
      <c r="P58" s="20">
        <f>_xlfn.STDEV.S(P49:P56)</f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AI73"/>
  <sheetViews>
    <sheetView zoomScale="60" zoomScaleNormal="60" workbookViewId="0"/>
  </sheetViews>
  <sheetFormatPr defaultColWidth="8.85546875" defaultRowHeight="15" x14ac:dyDescent="0.25"/>
  <cols>
    <col min="1" max="1" width="2.28515625" style="194" customWidth="1"/>
    <col min="2" max="2" width="25.140625" style="194" customWidth="1"/>
    <col min="3" max="3" width="21.5703125" style="194" bestFit="1" customWidth="1"/>
    <col min="4" max="4" width="9.7109375" style="194" bestFit="1" customWidth="1"/>
    <col min="5" max="11" width="10.140625" style="194" bestFit="1" customWidth="1"/>
    <col min="12" max="12" width="13.42578125" style="194" customWidth="1"/>
    <col min="13" max="13" width="3" style="194" customWidth="1"/>
    <col min="14" max="14" width="25.140625" style="194" bestFit="1" customWidth="1"/>
    <col min="15" max="15" width="21.5703125" style="194" bestFit="1" customWidth="1"/>
    <col min="16" max="16" width="9.28515625" style="194" bestFit="1" customWidth="1"/>
    <col min="17" max="23" width="10.140625" style="194" bestFit="1" customWidth="1"/>
    <col min="24" max="24" width="13.7109375" style="194" customWidth="1"/>
    <col min="25" max="25" width="3.140625" style="194" customWidth="1"/>
    <col min="26" max="26" width="3.42578125" style="194" customWidth="1"/>
    <col min="27" max="27" width="17" style="194" customWidth="1"/>
    <col min="28" max="28" width="17.85546875" style="194" customWidth="1"/>
    <col min="29" max="29" width="13.140625" style="194" customWidth="1"/>
    <col min="30" max="30" width="13.85546875" style="194" customWidth="1"/>
    <col min="31" max="31" width="11.85546875" style="194" customWidth="1"/>
    <col min="32" max="32" width="13.7109375" style="194" customWidth="1"/>
    <col min="33" max="33" width="16.28515625" style="194" customWidth="1"/>
    <col min="34" max="34" width="12" style="194" bestFit="1" customWidth="1"/>
    <col min="35" max="16384" width="8.85546875" style="194"/>
  </cols>
  <sheetData>
    <row r="2" spans="1:35" s="79" customFormat="1" x14ac:dyDescent="0.25">
      <c r="A2" s="33"/>
      <c r="B2" s="44" t="s">
        <v>242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Z2" s="111"/>
      <c r="AA2" s="111"/>
      <c r="AB2" s="111"/>
      <c r="AC2" s="111"/>
      <c r="AD2" s="111"/>
      <c r="AE2" s="111"/>
      <c r="AF2" s="237"/>
      <c r="AG2" s="237"/>
      <c r="AH2" s="237"/>
      <c r="AI2" s="237"/>
    </row>
    <row r="3" spans="1:35" s="79" customFormat="1" x14ac:dyDescent="0.25">
      <c r="A3" s="33"/>
      <c r="B3" s="2" t="s">
        <v>50</v>
      </c>
      <c r="C3" s="33"/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Z3" s="111"/>
      <c r="AA3" s="111"/>
      <c r="AB3" s="111"/>
      <c r="AC3" s="111"/>
      <c r="AD3" s="111"/>
      <c r="AE3" s="111"/>
      <c r="AF3" s="111"/>
      <c r="AG3" s="111"/>
      <c r="AH3" s="111"/>
      <c r="AI3" s="111"/>
    </row>
    <row r="4" spans="1:35" s="79" customFormat="1" x14ac:dyDescent="0.25">
      <c r="A4" s="33"/>
      <c r="B4" s="4" t="s">
        <v>4</v>
      </c>
      <c r="C4" s="5" t="s">
        <v>262</v>
      </c>
      <c r="D4" s="46" t="s">
        <v>143</v>
      </c>
      <c r="E4" s="46" t="s">
        <v>144</v>
      </c>
      <c r="F4" s="46" t="s">
        <v>145</v>
      </c>
      <c r="G4" s="5" t="s">
        <v>146</v>
      </c>
      <c r="H4" s="5" t="s">
        <v>147</v>
      </c>
      <c r="I4" s="5" t="s">
        <v>148</v>
      </c>
      <c r="J4" s="5" t="s">
        <v>149</v>
      </c>
      <c r="K4" s="5" t="s">
        <v>150</v>
      </c>
      <c r="L4" s="6" t="s">
        <v>237</v>
      </c>
      <c r="M4" s="33"/>
      <c r="N4" s="4" t="s">
        <v>25</v>
      </c>
      <c r="O4" s="5" t="s">
        <v>262</v>
      </c>
      <c r="P4" s="46" t="s">
        <v>143</v>
      </c>
      <c r="Q4" s="46" t="s">
        <v>144</v>
      </c>
      <c r="R4" s="46" t="s">
        <v>145</v>
      </c>
      <c r="S4" s="5" t="s">
        <v>146</v>
      </c>
      <c r="T4" s="5" t="s">
        <v>147</v>
      </c>
      <c r="U4" s="5" t="s">
        <v>148</v>
      </c>
      <c r="V4" s="5" t="s">
        <v>149</v>
      </c>
      <c r="W4" s="5" t="s">
        <v>150</v>
      </c>
      <c r="X4" s="6" t="s">
        <v>238</v>
      </c>
      <c r="Z4" s="111"/>
      <c r="AA4" s="111"/>
      <c r="AB4" s="48"/>
      <c r="AC4" s="48"/>
      <c r="AD4" s="62"/>
      <c r="AE4" s="62"/>
      <c r="AF4" s="62"/>
      <c r="AG4" s="62"/>
      <c r="AH4" s="48"/>
      <c r="AI4" s="111"/>
    </row>
    <row r="5" spans="1:35" s="79" customFormat="1" x14ac:dyDescent="0.25">
      <c r="A5" s="33"/>
      <c r="B5" s="43" t="s">
        <v>209</v>
      </c>
      <c r="C5" s="13" t="s">
        <v>5</v>
      </c>
      <c r="D5" s="22">
        <v>62</v>
      </c>
      <c r="E5" s="236"/>
      <c r="F5" s="22">
        <v>102</v>
      </c>
      <c r="G5" s="236"/>
      <c r="H5" s="22">
        <v>77</v>
      </c>
      <c r="I5" s="93"/>
      <c r="J5" s="22">
        <v>68</v>
      </c>
      <c r="K5" s="93"/>
      <c r="L5" s="38">
        <f>AVERAGE(D5:K5)</f>
        <v>77.25</v>
      </c>
      <c r="M5" s="33"/>
      <c r="N5" s="43" t="s">
        <v>209</v>
      </c>
      <c r="O5" s="13" t="s">
        <v>5</v>
      </c>
      <c r="P5" s="51">
        <v>16</v>
      </c>
      <c r="Q5" s="13"/>
      <c r="R5" s="51">
        <v>18</v>
      </c>
      <c r="S5" s="13"/>
      <c r="T5" s="51">
        <v>41</v>
      </c>
      <c r="U5" s="13"/>
      <c r="V5" s="51">
        <v>27</v>
      </c>
      <c r="W5" s="13"/>
      <c r="X5" s="38">
        <f>AVERAGE(P5:W5)</f>
        <v>25.5</v>
      </c>
      <c r="Z5" s="111"/>
      <c r="AA5" s="111"/>
      <c r="AB5" s="50"/>
      <c r="AC5" s="50"/>
      <c r="AD5" s="50"/>
      <c r="AE5" s="50"/>
      <c r="AF5" s="50"/>
      <c r="AG5" s="50"/>
      <c r="AH5" s="50"/>
      <c r="AI5" s="111"/>
    </row>
    <row r="6" spans="1:35" s="79" customFormat="1" x14ac:dyDescent="0.25">
      <c r="A6" s="33"/>
      <c r="B6" s="36"/>
      <c r="C6" s="15" t="s">
        <v>6</v>
      </c>
      <c r="D6" s="11">
        <v>120</v>
      </c>
      <c r="E6" s="236"/>
      <c r="F6" s="11">
        <v>49</v>
      </c>
      <c r="G6" s="236"/>
      <c r="H6" s="11">
        <v>80</v>
      </c>
      <c r="I6" s="70"/>
      <c r="J6" s="11">
        <v>72</v>
      </c>
      <c r="K6" s="70"/>
      <c r="L6" s="35">
        <f>AVERAGE(D6:K6)</f>
        <v>80.25</v>
      </c>
      <c r="M6" s="33"/>
      <c r="N6" s="36"/>
      <c r="O6" s="15" t="s">
        <v>6</v>
      </c>
      <c r="P6" s="51">
        <v>60</v>
      </c>
      <c r="Q6" s="15"/>
      <c r="R6" s="51">
        <v>80</v>
      </c>
      <c r="S6" s="15"/>
      <c r="T6" s="51">
        <v>25</v>
      </c>
      <c r="U6" s="15"/>
      <c r="V6" s="51">
        <v>20</v>
      </c>
      <c r="W6" s="15"/>
      <c r="X6" s="35">
        <f t="shared" ref="X6:X8" si="0">AVERAGE(P6:W6)</f>
        <v>46.25</v>
      </c>
      <c r="Z6" s="111"/>
      <c r="AA6" s="64"/>
      <c r="AB6" s="64"/>
      <c r="AC6" s="50"/>
      <c r="AD6" s="50"/>
      <c r="AE6" s="50"/>
      <c r="AF6" s="50"/>
      <c r="AG6" s="50"/>
      <c r="AH6" s="50"/>
      <c r="AI6" s="111"/>
    </row>
    <row r="7" spans="1:35" s="79" customFormat="1" x14ac:dyDescent="0.25">
      <c r="A7" s="33"/>
      <c r="B7" s="36"/>
      <c r="C7" s="15" t="s">
        <v>7</v>
      </c>
      <c r="D7" s="11">
        <v>42</v>
      </c>
      <c r="E7" s="236"/>
      <c r="F7" s="11">
        <v>62</v>
      </c>
      <c r="G7" s="236"/>
      <c r="H7" s="11">
        <v>12</v>
      </c>
      <c r="I7" s="70"/>
      <c r="J7" s="11">
        <v>59</v>
      </c>
      <c r="K7" s="70"/>
      <c r="L7" s="35">
        <f>AVERAGE(D7:K7)</f>
        <v>43.75</v>
      </c>
      <c r="M7" s="33"/>
      <c r="N7" s="36"/>
      <c r="O7" s="15" t="s">
        <v>7</v>
      </c>
      <c r="P7" s="51">
        <v>6</v>
      </c>
      <c r="Q7" s="15"/>
      <c r="R7" s="51">
        <v>32</v>
      </c>
      <c r="S7" s="15"/>
      <c r="T7" s="51">
        <v>56</v>
      </c>
      <c r="U7" s="15"/>
      <c r="V7" s="51">
        <v>33</v>
      </c>
      <c r="W7" s="15"/>
      <c r="X7" s="35">
        <f t="shared" si="0"/>
        <v>31.75</v>
      </c>
      <c r="Z7" s="111"/>
      <c r="AA7" s="64"/>
      <c r="AB7" s="50"/>
      <c r="AC7" s="50"/>
      <c r="AD7" s="50"/>
      <c r="AE7" s="50"/>
      <c r="AF7" s="50"/>
      <c r="AG7" s="50"/>
      <c r="AH7" s="50"/>
      <c r="AI7" s="111"/>
    </row>
    <row r="8" spans="1:35" s="79" customFormat="1" x14ac:dyDescent="0.25">
      <c r="A8" s="33"/>
      <c r="B8" s="36"/>
      <c r="C8" s="15" t="s">
        <v>8</v>
      </c>
      <c r="D8" s="11">
        <v>81</v>
      </c>
      <c r="E8" s="236"/>
      <c r="F8" s="11">
        <v>50</v>
      </c>
      <c r="G8" s="236"/>
      <c r="H8" s="11">
        <v>27</v>
      </c>
      <c r="I8" s="70"/>
      <c r="J8" s="11">
        <v>74</v>
      </c>
      <c r="K8" s="70"/>
      <c r="L8" s="35">
        <f>AVERAGE(D8:K8)</f>
        <v>58</v>
      </c>
      <c r="M8" s="33"/>
      <c r="N8" s="36"/>
      <c r="O8" s="15" t="s">
        <v>8</v>
      </c>
      <c r="P8" s="51">
        <v>36</v>
      </c>
      <c r="Q8" s="15"/>
      <c r="R8" s="51">
        <v>56</v>
      </c>
      <c r="S8" s="15"/>
      <c r="T8" s="51">
        <v>103</v>
      </c>
      <c r="U8" s="15"/>
      <c r="V8" s="51">
        <v>33</v>
      </c>
      <c r="W8" s="15"/>
      <c r="X8" s="35">
        <f t="shared" si="0"/>
        <v>57</v>
      </c>
      <c r="Z8" s="111"/>
      <c r="AA8" s="64"/>
      <c r="AB8" s="50"/>
      <c r="AC8" s="50"/>
      <c r="AD8" s="50"/>
      <c r="AE8" s="50"/>
      <c r="AF8" s="50"/>
      <c r="AG8" s="50"/>
      <c r="AH8" s="50"/>
      <c r="AI8" s="111"/>
    </row>
    <row r="9" spans="1:35" s="79" customFormat="1" x14ac:dyDescent="0.25">
      <c r="A9" s="33"/>
      <c r="B9" s="36"/>
      <c r="C9" s="16" t="s">
        <v>56</v>
      </c>
      <c r="D9" s="55"/>
      <c r="E9" s="55"/>
      <c r="F9" s="55"/>
      <c r="G9" s="55"/>
      <c r="H9" s="55"/>
      <c r="I9" s="55"/>
      <c r="J9" s="55"/>
      <c r="K9" s="55"/>
      <c r="L9" s="17">
        <f>AVERAGE(L5:L8)</f>
        <v>64.8125</v>
      </c>
      <c r="M9" s="21"/>
      <c r="N9" s="36"/>
      <c r="O9" s="16" t="s">
        <v>56</v>
      </c>
      <c r="P9" s="55"/>
      <c r="Q9" s="55"/>
      <c r="R9" s="55"/>
      <c r="S9" s="55"/>
      <c r="T9" s="55"/>
      <c r="U9" s="55"/>
      <c r="V9" s="55"/>
      <c r="W9" s="55"/>
      <c r="X9" s="17">
        <f>AVERAGE(X5:X8)</f>
        <v>40.125</v>
      </c>
      <c r="Z9" s="111"/>
      <c r="AA9" s="111"/>
      <c r="AB9" s="48"/>
      <c r="AC9" s="48"/>
      <c r="AD9" s="62"/>
      <c r="AE9" s="62"/>
      <c r="AF9" s="62"/>
      <c r="AG9" s="62"/>
      <c r="AH9" s="48"/>
      <c r="AI9" s="111"/>
    </row>
    <row r="10" spans="1:35" s="79" customFormat="1" x14ac:dyDescent="0.25">
      <c r="A10" s="33"/>
      <c r="B10" s="36"/>
      <c r="C10" s="16" t="s">
        <v>22</v>
      </c>
      <c r="D10" s="55"/>
      <c r="E10" s="55"/>
      <c r="F10" s="55"/>
      <c r="G10" s="55"/>
      <c r="H10" s="55"/>
      <c r="I10" s="55"/>
      <c r="J10" s="55"/>
      <c r="K10" s="55"/>
      <c r="L10" s="17">
        <f>_xlfn.STDEV.S(L5:L8)</f>
        <v>17.156601013409777</v>
      </c>
      <c r="M10" s="21"/>
      <c r="N10" s="36"/>
      <c r="O10" s="16" t="s">
        <v>22</v>
      </c>
      <c r="P10" s="55"/>
      <c r="Q10" s="55"/>
      <c r="R10" s="55"/>
      <c r="S10" s="55"/>
      <c r="T10" s="55"/>
      <c r="U10" s="55"/>
      <c r="V10" s="55"/>
      <c r="W10" s="55"/>
      <c r="X10" s="17">
        <f>_xlfn.STDEV.S(X5:X8)</f>
        <v>14.216334501785848</v>
      </c>
      <c r="Z10" s="111"/>
      <c r="AA10" s="111"/>
      <c r="AB10" s="50"/>
      <c r="AC10" s="50"/>
      <c r="AD10" s="50"/>
      <c r="AE10" s="50"/>
      <c r="AF10" s="50"/>
      <c r="AG10" s="50"/>
      <c r="AH10" s="50"/>
      <c r="AI10" s="111"/>
    </row>
    <row r="11" spans="1:35" s="79" customFormat="1" x14ac:dyDescent="0.25">
      <c r="A11" s="33"/>
      <c r="B11" s="4" t="s">
        <v>4</v>
      </c>
      <c r="C11" s="5" t="s">
        <v>262</v>
      </c>
      <c r="D11" s="46" t="s">
        <v>143</v>
      </c>
      <c r="E11" s="46" t="s">
        <v>144</v>
      </c>
      <c r="F11" s="46" t="s">
        <v>145</v>
      </c>
      <c r="G11" s="5" t="s">
        <v>146</v>
      </c>
      <c r="H11" s="5" t="s">
        <v>147</v>
      </c>
      <c r="I11" s="5" t="s">
        <v>148</v>
      </c>
      <c r="J11" s="5" t="s">
        <v>149</v>
      </c>
      <c r="K11" s="5" t="s">
        <v>150</v>
      </c>
      <c r="L11" s="6" t="s">
        <v>238</v>
      </c>
      <c r="M11" s="33"/>
      <c r="N11" s="4" t="s">
        <v>25</v>
      </c>
      <c r="O11" s="5" t="s">
        <v>262</v>
      </c>
      <c r="P11" s="46" t="s">
        <v>143</v>
      </c>
      <c r="Q11" s="46" t="s">
        <v>144</v>
      </c>
      <c r="R11" s="46" t="s">
        <v>145</v>
      </c>
      <c r="S11" s="5" t="s">
        <v>146</v>
      </c>
      <c r="T11" s="5" t="s">
        <v>147</v>
      </c>
      <c r="U11" s="5" t="s">
        <v>148</v>
      </c>
      <c r="V11" s="5" t="s">
        <v>149</v>
      </c>
      <c r="W11" s="5" t="s">
        <v>150</v>
      </c>
      <c r="X11" s="6" t="s">
        <v>238</v>
      </c>
      <c r="Z11" s="111"/>
      <c r="AA11" s="111"/>
      <c r="AB11" s="238"/>
      <c r="AC11" s="50"/>
      <c r="AD11" s="50"/>
      <c r="AE11" s="50"/>
      <c r="AF11" s="50"/>
      <c r="AG11" s="50"/>
      <c r="AH11" s="50"/>
      <c r="AI11" s="111"/>
    </row>
    <row r="12" spans="1:35" s="79" customFormat="1" x14ac:dyDescent="0.25">
      <c r="A12" s="33"/>
      <c r="B12" s="43" t="s">
        <v>251</v>
      </c>
      <c r="C12" s="13" t="s">
        <v>5</v>
      </c>
      <c r="D12" s="93">
        <v>320</v>
      </c>
      <c r="E12" s="93">
        <v>222</v>
      </c>
      <c r="F12" s="93">
        <v>360</v>
      </c>
      <c r="G12" s="93">
        <v>300</v>
      </c>
      <c r="H12" s="93">
        <v>208</v>
      </c>
      <c r="I12" s="93">
        <v>310</v>
      </c>
      <c r="J12" s="93">
        <v>390</v>
      </c>
      <c r="K12" s="93">
        <v>360</v>
      </c>
      <c r="L12" s="38">
        <f>AVERAGE(D12:K12)</f>
        <v>308.75</v>
      </c>
      <c r="M12" s="33"/>
      <c r="N12" s="43" t="s">
        <v>251</v>
      </c>
      <c r="O12" s="13" t="s">
        <v>5</v>
      </c>
      <c r="P12" s="13">
        <v>788</v>
      </c>
      <c r="Q12" s="13">
        <v>608</v>
      </c>
      <c r="R12" s="13">
        <v>620</v>
      </c>
      <c r="S12" s="13">
        <v>730</v>
      </c>
      <c r="T12" s="13">
        <v>608</v>
      </c>
      <c r="U12" s="13">
        <v>786</v>
      </c>
      <c r="V12" s="13">
        <v>608</v>
      </c>
      <c r="W12" s="13">
        <v>860</v>
      </c>
      <c r="X12" s="167">
        <v>701</v>
      </c>
      <c r="Z12" s="111"/>
      <c r="AA12" s="111"/>
      <c r="AB12" s="50"/>
      <c r="AC12" s="50"/>
      <c r="AD12" s="50"/>
      <c r="AE12" s="50"/>
      <c r="AF12" s="50"/>
      <c r="AG12" s="50"/>
      <c r="AH12" s="50"/>
      <c r="AI12" s="111"/>
    </row>
    <row r="13" spans="1:35" s="79" customFormat="1" x14ac:dyDescent="0.25">
      <c r="A13" s="33"/>
      <c r="B13" s="36"/>
      <c r="C13" s="15" t="s">
        <v>6</v>
      </c>
      <c r="D13" s="70">
        <v>602</v>
      </c>
      <c r="E13" s="70">
        <v>204</v>
      </c>
      <c r="F13" s="70">
        <v>384</v>
      </c>
      <c r="G13" s="70">
        <v>314</v>
      </c>
      <c r="H13" s="70">
        <v>360</v>
      </c>
      <c r="I13" s="70">
        <v>430</v>
      </c>
      <c r="J13" s="70">
        <v>302</v>
      </c>
      <c r="K13" s="70">
        <v>406</v>
      </c>
      <c r="L13" s="35">
        <f t="shared" ref="L13:L19" si="1">AVERAGE(D13:K13)</f>
        <v>375.25</v>
      </c>
      <c r="M13" s="33"/>
      <c r="N13" s="36"/>
      <c r="O13" s="15" t="s">
        <v>6</v>
      </c>
      <c r="P13" s="15">
        <v>780</v>
      </c>
      <c r="Q13" s="15">
        <v>820</v>
      </c>
      <c r="R13" s="15">
        <v>440</v>
      </c>
      <c r="S13" s="15">
        <v>404</v>
      </c>
      <c r="T13" s="15">
        <v>520</v>
      </c>
      <c r="U13" s="15">
        <v>680</v>
      </c>
      <c r="V13" s="15">
        <v>780</v>
      </c>
      <c r="W13" s="15">
        <v>790</v>
      </c>
      <c r="X13" s="37">
        <v>651.75</v>
      </c>
      <c r="Z13" s="111"/>
      <c r="AA13" s="111"/>
      <c r="AB13" s="50"/>
      <c r="AC13" s="50"/>
      <c r="AD13" s="50"/>
      <c r="AE13" s="50"/>
      <c r="AF13" s="50"/>
      <c r="AG13" s="50"/>
      <c r="AH13" s="50"/>
      <c r="AI13" s="111"/>
    </row>
    <row r="14" spans="1:35" s="79" customFormat="1" x14ac:dyDescent="0.25">
      <c r="A14" s="33"/>
      <c r="B14" s="36"/>
      <c r="C14" s="15" t="s">
        <v>7</v>
      </c>
      <c r="D14" s="70">
        <v>520</v>
      </c>
      <c r="E14" s="70">
        <v>464</v>
      </c>
      <c r="F14" s="70">
        <v>440</v>
      </c>
      <c r="G14" s="70">
        <v>360</v>
      </c>
      <c r="H14" s="70">
        <v>380</v>
      </c>
      <c r="I14" s="70">
        <v>260</v>
      </c>
      <c r="J14" s="70">
        <v>612</v>
      </c>
      <c r="K14" s="70">
        <v>426</v>
      </c>
      <c r="L14" s="35">
        <f t="shared" si="1"/>
        <v>432.75</v>
      </c>
      <c r="M14" s="33"/>
      <c r="N14" s="36"/>
      <c r="O14" s="15" t="s">
        <v>7</v>
      </c>
      <c r="P14" s="15">
        <v>184</v>
      </c>
      <c r="Q14" s="15">
        <v>612</v>
      </c>
      <c r="R14" s="15">
        <v>626</v>
      </c>
      <c r="S14" s="15">
        <v>490</v>
      </c>
      <c r="T14" s="15">
        <v>936</v>
      </c>
      <c r="U14" s="15">
        <v>964</v>
      </c>
      <c r="V14" s="15">
        <v>320</v>
      </c>
      <c r="W14" s="15">
        <v>411</v>
      </c>
      <c r="X14" s="37">
        <v>567.875</v>
      </c>
      <c r="Z14" s="111"/>
      <c r="AA14" s="111"/>
      <c r="AB14" s="50"/>
      <c r="AC14" s="50"/>
      <c r="AD14" s="50"/>
      <c r="AE14" s="50"/>
      <c r="AF14" s="50"/>
      <c r="AG14" s="48"/>
      <c r="AH14" s="149"/>
      <c r="AI14" s="111"/>
    </row>
    <row r="15" spans="1:35" s="79" customFormat="1" x14ac:dyDescent="0.25">
      <c r="A15" s="33"/>
      <c r="B15" s="36"/>
      <c r="C15" s="15" t="s">
        <v>8</v>
      </c>
      <c r="D15" s="70">
        <v>374</v>
      </c>
      <c r="E15" s="70">
        <v>556</v>
      </c>
      <c r="F15" s="70">
        <v>644</v>
      </c>
      <c r="G15" s="70">
        <v>648</v>
      </c>
      <c r="H15" s="70">
        <v>628</v>
      </c>
      <c r="I15" s="70">
        <v>470</v>
      </c>
      <c r="J15" s="70">
        <v>422</v>
      </c>
      <c r="K15" s="70">
        <v>418</v>
      </c>
      <c r="L15" s="35">
        <f t="shared" si="1"/>
        <v>520</v>
      </c>
      <c r="M15" s="33"/>
      <c r="N15" s="36"/>
      <c r="O15" s="15" t="s">
        <v>8</v>
      </c>
      <c r="P15" s="15">
        <v>666</v>
      </c>
      <c r="Q15" s="15">
        <v>354</v>
      </c>
      <c r="R15" s="15">
        <v>430</v>
      </c>
      <c r="S15" s="15">
        <v>440</v>
      </c>
      <c r="T15" s="15">
        <v>512</v>
      </c>
      <c r="U15" s="15">
        <v>300</v>
      </c>
      <c r="V15" s="15">
        <v>812</v>
      </c>
      <c r="W15" s="15">
        <v>706</v>
      </c>
      <c r="X15" s="37">
        <v>527.5</v>
      </c>
      <c r="Z15" s="111"/>
      <c r="AA15" s="111"/>
      <c r="AB15" s="50"/>
      <c r="AC15" s="50"/>
      <c r="AD15" s="50"/>
      <c r="AE15" s="50"/>
      <c r="AF15" s="50"/>
      <c r="AG15" s="48"/>
      <c r="AH15" s="149"/>
      <c r="AI15" s="111"/>
    </row>
    <row r="16" spans="1:35" s="79" customFormat="1" x14ac:dyDescent="0.25">
      <c r="A16" s="33"/>
      <c r="B16" s="36"/>
      <c r="C16" s="15" t="s">
        <v>14</v>
      </c>
      <c r="D16" s="70">
        <v>254</v>
      </c>
      <c r="E16" s="70">
        <v>500</v>
      </c>
      <c r="F16" s="70">
        <v>602</v>
      </c>
      <c r="G16" s="70">
        <v>380</v>
      </c>
      <c r="H16" s="70">
        <v>248</v>
      </c>
      <c r="I16" s="70">
        <v>410</v>
      </c>
      <c r="J16" s="70">
        <v>236</v>
      </c>
      <c r="K16" s="70">
        <v>200</v>
      </c>
      <c r="L16" s="35">
        <f t="shared" si="1"/>
        <v>353.75</v>
      </c>
      <c r="M16" s="33"/>
      <c r="N16" s="36"/>
      <c r="O16" s="15" t="s">
        <v>14</v>
      </c>
      <c r="P16" s="15">
        <v>520</v>
      </c>
      <c r="Q16" s="15">
        <v>600</v>
      </c>
      <c r="R16" s="15">
        <v>680</v>
      </c>
      <c r="S16" s="15">
        <v>780</v>
      </c>
      <c r="T16" s="15">
        <v>780</v>
      </c>
      <c r="U16" s="15">
        <v>560</v>
      </c>
      <c r="V16" s="15">
        <v>480</v>
      </c>
      <c r="W16" s="15">
        <v>780</v>
      </c>
      <c r="X16" s="37">
        <v>647.5</v>
      </c>
      <c r="Z16" s="111"/>
      <c r="AA16" s="111"/>
      <c r="AB16" s="111"/>
      <c r="AC16" s="111"/>
      <c r="AD16" s="111"/>
      <c r="AE16" s="111"/>
      <c r="AF16" s="111"/>
      <c r="AG16" s="111"/>
      <c r="AH16" s="111"/>
      <c r="AI16" s="111"/>
    </row>
    <row r="17" spans="1:35" s="79" customFormat="1" x14ac:dyDescent="0.25">
      <c r="A17" s="33"/>
      <c r="B17" s="36"/>
      <c r="C17" s="15" t="s">
        <v>15</v>
      </c>
      <c r="D17" s="70">
        <v>650</v>
      </c>
      <c r="E17" s="70">
        <v>600</v>
      </c>
      <c r="F17" s="70">
        <v>346</v>
      </c>
      <c r="G17" s="70">
        <v>288</v>
      </c>
      <c r="H17" s="70">
        <v>600</v>
      </c>
      <c r="I17" s="70">
        <v>408</v>
      </c>
      <c r="J17" s="70">
        <v>250</v>
      </c>
      <c r="K17" s="70">
        <v>400</v>
      </c>
      <c r="L17" s="35">
        <f t="shared" si="1"/>
        <v>442.75</v>
      </c>
      <c r="M17" s="33"/>
      <c r="N17" s="36"/>
      <c r="O17" s="15" t="s">
        <v>15</v>
      </c>
      <c r="P17" s="15">
        <v>670</v>
      </c>
      <c r="Q17" s="15">
        <v>630</v>
      </c>
      <c r="R17" s="15">
        <v>540</v>
      </c>
      <c r="S17" s="15">
        <v>760</v>
      </c>
      <c r="T17" s="15">
        <v>740</v>
      </c>
      <c r="U17" s="15">
        <v>480</v>
      </c>
      <c r="V17" s="15">
        <v>680</v>
      </c>
      <c r="W17" s="15">
        <v>760</v>
      </c>
      <c r="X17" s="37">
        <v>657.5</v>
      </c>
      <c r="Z17" s="111"/>
      <c r="AA17" s="111"/>
      <c r="AB17" s="111"/>
      <c r="AC17" s="111"/>
      <c r="AD17" s="111"/>
      <c r="AE17" s="111"/>
      <c r="AF17" s="111"/>
      <c r="AG17" s="111"/>
      <c r="AH17" s="111"/>
      <c r="AI17" s="111"/>
    </row>
    <row r="18" spans="1:35" s="79" customFormat="1" x14ac:dyDescent="0.25">
      <c r="A18" s="33"/>
      <c r="B18" s="36"/>
      <c r="C18" s="15" t="s">
        <v>19</v>
      </c>
      <c r="D18" s="70">
        <v>300</v>
      </c>
      <c r="E18" s="70">
        <v>320</v>
      </c>
      <c r="F18" s="70">
        <v>350</v>
      </c>
      <c r="G18" s="70">
        <v>290</v>
      </c>
      <c r="H18" s="70">
        <v>400</v>
      </c>
      <c r="I18" s="70">
        <v>340</v>
      </c>
      <c r="J18" s="70">
        <v>402</v>
      </c>
      <c r="K18" s="70">
        <v>420</v>
      </c>
      <c r="L18" s="35">
        <f t="shared" si="1"/>
        <v>352.75</v>
      </c>
      <c r="M18" s="33"/>
      <c r="N18" s="36"/>
      <c r="O18" s="15" t="s">
        <v>19</v>
      </c>
      <c r="P18" s="15">
        <v>780</v>
      </c>
      <c r="Q18" s="15">
        <v>673</v>
      </c>
      <c r="R18" s="15">
        <v>560</v>
      </c>
      <c r="S18" s="15">
        <v>458</v>
      </c>
      <c r="T18" s="15">
        <v>560</v>
      </c>
      <c r="U18" s="15">
        <v>789</v>
      </c>
      <c r="V18" s="15">
        <v>670</v>
      </c>
      <c r="W18" s="15">
        <v>560</v>
      </c>
      <c r="X18" s="37">
        <v>631.25</v>
      </c>
      <c r="Z18" s="111"/>
      <c r="AA18" s="111"/>
      <c r="AB18" s="111"/>
      <c r="AC18" s="111"/>
      <c r="AD18" s="111"/>
      <c r="AE18" s="111"/>
      <c r="AF18" s="237"/>
      <c r="AG18" s="237"/>
      <c r="AH18" s="237"/>
      <c r="AI18" s="237"/>
    </row>
    <row r="19" spans="1:35" s="79" customFormat="1" x14ac:dyDescent="0.25">
      <c r="A19" s="33"/>
      <c r="B19" s="36"/>
      <c r="C19" s="15" t="s">
        <v>21</v>
      </c>
      <c r="D19" s="70">
        <v>288</v>
      </c>
      <c r="E19" s="70">
        <v>260</v>
      </c>
      <c r="F19" s="70">
        <v>174</v>
      </c>
      <c r="G19" s="70">
        <v>182</v>
      </c>
      <c r="H19" s="70">
        <v>352</v>
      </c>
      <c r="I19" s="70">
        <v>404</v>
      </c>
      <c r="J19" s="70">
        <v>480</v>
      </c>
      <c r="K19" s="70">
        <v>314</v>
      </c>
      <c r="L19" s="35">
        <f t="shared" si="1"/>
        <v>306.75</v>
      </c>
      <c r="M19" s="33"/>
      <c r="N19" s="36"/>
      <c r="O19" s="15" t="s">
        <v>21</v>
      </c>
      <c r="P19" s="15">
        <v>520</v>
      </c>
      <c r="Q19" s="15">
        <v>782</v>
      </c>
      <c r="R19" s="15">
        <v>580</v>
      </c>
      <c r="S19" s="15">
        <v>389</v>
      </c>
      <c r="T19" s="15">
        <v>670</v>
      </c>
      <c r="U19" s="15">
        <v>490</v>
      </c>
      <c r="V19" s="15">
        <v>540</v>
      </c>
      <c r="W19" s="15">
        <v>784</v>
      </c>
      <c r="X19" s="37">
        <v>594.375</v>
      </c>
      <c r="Z19" s="111"/>
      <c r="AA19" s="111"/>
      <c r="AB19" s="111"/>
      <c r="AC19" s="111"/>
      <c r="AD19" s="111"/>
      <c r="AE19" s="111"/>
      <c r="AF19" s="237"/>
      <c r="AG19" s="237"/>
      <c r="AH19" s="237"/>
      <c r="AI19" s="237"/>
    </row>
    <row r="20" spans="1:35" s="79" customFormat="1" x14ac:dyDescent="0.25">
      <c r="A20" s="33"/>
      <c r="B20" s="36"/>
      <c r="C20" s="16" t="s">
        <v>56</v>
      </c>
      <c r="D20" s="55"/>
      <c r="E20" s="55"/>
      <c r="F20" s="55"/>
      <c r="G20" s="55"/>
      <c r="H20" s="55"/>
      <c r="I20" s="55"/>
      <c r="J20" s="55"/>
      <c r="K20" s="55"/>
      <c r="L20" s="17">
        <f>AVERAGE(L12:L19)</f>
        <v>386.59375</v>
      </c>
      <c r="M20" s="21"/>
      <c r="N20" s="36"/>
      <c r="O20" s="16" t="s">
        <v>56</v>
      </c>
      <c r="P20" s="55"/>
      <c r="Q20" s="55"/>
      <c r="R20" s="55"/>
      <c r="S20" s="55"/>
      <c r="T20" s="55"/>
      <c r="U20" s="55"/>
      <c r="V20" s="55"/>
      <c r="W20" s="55"/>
      <c r="X20" s="17">
        <f>AVERAGE(X12:X19)</f>
        <v>622.34375</v>
      </c>
    </row>
    <row r="21" spans="1:35" s="79" customFormat="1" x14ac:dyDescent="0.25">
      <c r="A21" s="33"/>
      <c r="B21" s="36"/>
      <c r="C21" s="16" t="s">
        <v>22</v>
      </c>
      <c r="D21" s="55"/>
      <c r="E21" s="55"/>
      <c r="F21" s="55"/>
      <c r="G21" s="55"/>
      <c r="H21" s="55"/>
      <c r="I21" s="55"/>
      <c r="J21" s="55"/>
      <c r="K21" s="55"/>
      <c r="L21" s="17">
        <f>_xlfn.STDEV.S(L12:L19)</f>
        <v>73.551359303259261</v>
      </c>
      <c r="M21" s="21"/>
      <c r="N21" s="36"/>
      <c r="O21" s="16" t="s">
        <v>22</v>
      </c>
      <c r="P21" s="55"/>
      <c r="Q21" s="55"/>
      <c r="R21" s="55"/>
      <c r="S21" s="55"/>
      <c r="T21" s="55"/>
      <c r="U21" s="55"/>
      <c r="V21" s="55"/>
      <c r="W21" s="55"/>
      <c r="X21" s="17">
        <f>_xlfn.STDEV.S(X12:X19)</f>
        <v>55.734172561108579</v>
      </c>
    </row>
    <row r="22" spans="1:35" s="79" customFormat="1" x14ac:dyDescent="0.25">
      <c r="A22" s="33"/>
      <c r="B22" s="4" t="s">
        <v>4</v>
      </c>
      <c r="C22" s="5" t="s">
        <v>262</v>
      </c>
      <c r="D22" s="46" t="s">
        <v>143</v>
      </c>
      <c r="E22" s="46" t="s">
        <v>144</v>
      </c>
      <c r="F22" s="46" t="s">
        <v>145</v>
      </c>
      <c r="G22" s="5" t="s">
        <v>146</v>
      </c>
      <c r="H22" s="5" t="s">
        <v>147</v>
      </c>
      <c r="I22" s="5" t="s">
        <v>148</v>
      </c>
      <c r="J22" s="5" t="s">
        <v>149</v>
      </c>
      <c r="K22" s="5" t="s">
        <v>150</v>
      </c>
      <c r="L22" s="6" t="s">
        <v>238</v>
      </c>
      <c r="M22" s="33"/>
      <c r="N22" s="4" t="s">
        <v>25</v>
      </c>
      <c r="O22" s="5" t="s">
        <v>262</v>
      </c>
      <c r="P22" s="46" t="s">
        <v>143</v>
      </c>
      <c r="Q22" s="46" t="s">
        <v>144</v>
      </c>
      <c r="R22" s="46" t="s">
        <v>145</v>
      </c>
      <c r="S22" s="5" t="s">
        <v>146</v>
      </c>
      <c r="T22" s="5" t="s">
        <v>147</v>
      </c>
      <c r="U22" s="5" t="s">
        <v>148</v>
      </c>
      <c r="V22" s="5" t="s">
        <v>149</v>
      </c>
      <c r="W22" s="5" t="s">
        <v>150</v>
      </c>
      <c r="X22" s="6" t="s">
        <v>238</v>
      </c>
    </row>
    <row r="23" spans="1:35" s="79" customFormat="1" x14ac:dyDescent="0.25">
      <c r="A23" s="33"/>
      <c r="B23" s="43" t="s">
        <v>153</v>
      </c>
      <c r="C23" s="13" t="s">
        <v>5</v>
      </c>
      <c r="D23" s="70">
        <v>402</v>
      </c>
      <c r="E23" s="70">
        <v>408</v>
      </c>
      <c r="F23" s="70">
        <v>292</v>
      </c>
      <c r="G23" s="70">
        <v>528</v>
      </c>
      <c r="H23" s="70">
        <v>292</v>
      </c>
      <c r="I23" s="70">
        <v>526</v>
      </c>
      <c r="J23" s="70">
        <v>424</v>
      </c>
      <c r="K23" s="70">
        <v>514</v>
      </c>
      <c r="L23" s="35">
        <f t="shared" ref="L23:L30" si="2">AVERAGE(D23:K23)</f>
        <v>423.25</v>
      </c>
      <c r="M23" s="33"/>
      <c r="N23" s="43" t="s">
        <v>153</v>
      </c>
      <c r="O23" s="13" t="s">
        <v>5</v>
      </c>
      <c r="P23" s="70">
        <v>422</v>
      </c>
      <c r="Q23" s="70">
        <v>340</v>
      </c>
      <c r="R23" s="70">
        <v>600</v>
      </c>
      <c r="S23" s="70">
        <v>366</v>
      </c>
      <c r="T23" s="70">
        <v>376</v>
      </c>
      <c r="U23" s="70">
        <v>504</v>
      </c>
      <c r="V23" s="70">
        <v>540</v>
      </c>
      <c r="W23" s="70">
        <v>288</v>
      </c>
      <c r="X23" s="35">
        <f t="shared" ref="X23:X30" si="3">AVERAGE(P23:W23)</f>
        <v>429.5</v>
      </c>
    </row>
    <row r="24" spans="1:35" s="79" customFormat="1" x14ac:dyDescent="0.25">
      <c r="A24" s="33"/>
      <c r="B24" s="36"/>
      <c r="C24" s="15" t="s">
        <v>6</v>
      </c>
      <c r="D24" s="70">
        <v>428</v>
      </c>
      <c r="E24" s="70">
        <v>524</v>
      </c>
      <c r="F24" s="70">
        <v>632</v>
      </c>
      <c r="G24" s="70">
        <v>438</v>
      </c>
      <c r="H24" s="70">
        <v>400</v>
      </c>
      <c r="I24" s="70">
        <v>360</v>
      </c>
      <c r="J24" s="70">
        <v>214</v>
      </c>
      <c r="K24" s="70">
        <v>400</v>
      </c>
      <c r="L24" s="35">
        <f t="shared" si="2"/>
        <v>424.5</v>
      </c>
      <c r="M24" s="33"/>
      <c r="N24" s="36"/>
      <c r="O24" s="15" t="s">
        <v>6</v>
      </c>
      <c r="P24" s="70">
        <v>428</v>
      </c>
      <c r="Q24" s="70">
        <v>570</v>
      </c>
      <c r="R24" s="70">
        <v>460</v>
      </c>
      <c r="S24" s="70">
        <v>412</v>
      </c>
      <c r="T24" s="70">
        <v>366</v>
      </c>
      <c r="U24" s="70">
        <v>268</v>
      </c>
      <c r="V24" s="70">
        <v>500</v>
      </c>
      <c r="W24" s="70">
        <v>368</v>
      </c>
      <c r="X24" s="35">
        <f t="shared" si="3"/>
        <v>421.5</v>
      </c>
    </row>
    <row r="25" spans="1:35" s="79" customFormat="1" x14ac:dyDescent="0.25">
      <c r="A25" s="33"/>
      <c r="B25" s="36"/>
      <c r="C25" s="15" t="s">
        <v>7</v>
      </c>
      <c r="D25" s="70">
        <v>310</v>
      </c>
      <c r="E25" s="70">
        <v>320</v>
      </c>
      <c r="F25" s="70">
        <v>288</v>
      </c>
      <c r="G25" s="70">
        <v>334</v>
      </c>
      <c r="H25" s="70">
        <v>358</v>
      </c>
      <c r="I25" s="70">
        <v>556</v>
      </c>
      <c r="J25" s="70">
        <v>148</v>
      </c>
      <c r="K25" s="70">
        <v>204</v>
      </c>
      <c r="L25" s="35">
        <f t="shared" si="2"/>
        <v>314.75</v>
      </c>
      <c r="M25" s="33"/>
      <c r="N25" s="36"/>
      <c r="O25" s="15" t="s">
        <v>7</v>
      </c>
      <c r="P25" s="70">
        <v>506</v>
      </c>
      <c r="Q25" s="70">
        <v>626</v>
      </c>
      <c r="R25" s="70">
        <v>736</v>
      </c>
      <c r="S25" s="70">
        <v>744</v>
      </c>
      <c r="T25" s="70">
        <v>720</v>
      </c>
      <c r="U25" s="70">
        <v>750</v>
      </c>
      <c r="V25" s="70">
        <v>722</v>
      </c>
      <c r="W25" s="70">
        <v>406</v>
      </c>
      <c r="X25" s="35">
        <f t="shared" si="3"/>
        <v>651.25</v>
      </c>
    </row>
    <row r="26" spans="1:35" s="79" customFormat="1" x14ac:dyDescent="0.25">
      <c r="A26" s="33"/>
      <c r="B26" s="36"/>
      <c r="C26" s="15" t="s">
        <v>8</v>
      </c>
      <c r="D26" s="70">
        <v>680</v>
      </c>
      <c r="E26" s="70">
        <v>710</v>
      </c>
      <c r="F26" s="70">
        <v>780</v>
      </c>
      <c r="G26" s="70">
        <v>520</v>
      </c>
      <c r="H26" s="70">
        <v>450</v>
      </c>
      <c r="I26" s="70">
        <v>520</v>
      </c>
      <c r="J26" s="70">
        <v>500</v>
      </c>
      <c r="K26" s="70">
        <v>468</v>
      </c>
      <c r="L26" s="35">
        <f t="shared" si="2"/>
        <v>578.5</v>
      </c>
      <c r="M26" s="33"/>
      <c r="N26" s="36"/>
      <c r="O26" s="15" t="s">
        <v>8</v>
      </c>
      <c r="P26" s="70">
        <v>708</v>
      </c>
      <c r="Q26" s="70">
        <v>678</v>
      </c>
      <c r="R26" s="70">
        <v>876</v>
      </c>
      <c r="S26" s="70">
        <v>846</v>
      </c>
      <c r="T26" s="70">
        <v>840</v>
      </c>
      <c r="U26" s="70">
        <v>860</v>
      </c>
      <c r="V26" s="70">
        <v>790</v>
      </c>
      <c r="W26" s="70">
        <v>806</v>
      </c>
      <c r="X26" s="35">
        <f t="shared" si="3"/>
        <v>800.5</v>
      </c>
    </row>
    <row r="27" spans="1:35" s="79" customFormat="1" x14ac:dyDescent="0.25">
      <c r="A27" s="33"/>
      <c r="B27" s="36"/>
      <c r="C27" s="15" t="s">
        <v>14</v>
      </c>
      <c r="D27" s="70">
        <v>600</v>
      </c>
      <c r="E27" s="70">
        <v>600</v>
      </c>
      <c r="F27" s="70">
        <v>560</v>
      </c>
      <c r="G27" s="70">
        <v>362</v>
      </c>
      <c r="H27" s="70">
        <v>380</v>
      </c>
      <c r="I27" s="70">
        <v>370</v>
      </c>
      <c r="J27" s="70">
        <v>434</v>
      </c>
      <c r="K27" s="70">
        <v>400</v>
      </c>
      <c r="L27" s="35">
        <f t="shared" si="2"/>
        <v>463.25</v>
      </c>
      <c r="M27" s="33"/>
      <c r="N27" s="36"/>
      <c r="O27" s="15" t="s">
        <v>14</v>
      </c>
      <c r="P27" s="70">
        <v>548</v>
      </c>
      <c r="Q27" s="70">
        <v>540</v>
      </c>
      <c r="R27" s="70">
        <v>656</v>
      </c>
      <c r="S27" s="70">
        <v>468</v>
      </c>
      <c r="T27" s="70">
        <v>486</v>
      </c>
      <c r="U27" s="70">
        <v>510</v>
      </c>
      <c r="V27" s="70">
        <v>550</v>
      </c>
      <c r="W27" s="70">
        <v>350</v>
      </c>
      <c r="X27" s="35">
        <f t="shared" si="3"/>
        <v>513.5</v>
      </c>
    </row>
    <row r="28" spans="1:35" s="79" customFormat="1" x14ac:dyDescent="0.25">
      <c r="A28" s="33"/>
      <c r="B28" s="36"/>
      <c r="C28" s="15" t="s">
        <v>15</v>
      </c>
      <c r="D28" s="70">
        <v>306</v>
      </c>
      <c r="E28" s="70">
        <v>280</v>
      </c>
      <c r="F28" s="70">
        <v>280</v>
      </c>
      <c r="G28" s="70">
        <v>450</v>
      </c>
      <c r="H28" s="70">
        <v>480</v>
      </c>
      <c r="I28" s="70">
        <v>302</v>
      </c>
      <c r="J28" s="70">
        <v>514</v>
      </c>
      <c r="K28" s="70">
        <v>402</v>
      </c>
      <c r="L28" s="35">
        <f t="shared" si="2"/>
        <v>376.75</v>
      </c>
      <c r="M28" s="33"/>
      <c r="N28" s="36"/>
      <c r="O28" s="15" t="s">
        <v>15</v>
      </c>
      <c r="P28" s="70">
        <v>398</v>
      </c>
      <c r="Q28" s="70">
        <v>550</v>
      </c>
      <c r="R28" s="70">
        <v>580</v>
      </c>
      <c r="S28" s="70">
        <v>520</v>
      </c>
      <c r="T28" s="70">
        <v>560</v>
      </c>
      <c r="U28" s="70">
        <v>420</v>
      </c>
      <c r="V28" s="70">
        <v>610</v>
      </c>
      <c r="W28" s="70">
        <v>466</v>
      </c>
      <c r="X28" s="35">
        <f t="shared" si="3"/>
        <v>513</v>
      </c>
    </row>
    <row r="29" spans="1:35" s="79" customFormat="1" x14ac:dyDescent="0.25">
      <c r="A29" s="33"/>
      <c r="B29" s="36"/>
      <c r="C29" s="15" t="s">
        <v>19</v>
      </c>
      <c r="D29" s="70">
        <v>368</v>
      </c>
      <c r="E29" s="70">
        <v>616</v>
      </c>
      <c r="F29" s="70">
        <v>380</v>
      </c>
      <c r="G29" s="70">
        <v>376</v>
      </c>
      <c r="H29" s="70">
        <v>512</v>
      </c>
      <c r="I29" s="70">
        <v>490</v>
      </c>
      <c r="J29" s="70">
        <v>328</v>
      </c>
      <c r="K29" s="70">
        <v>362</v>
      </c>
      <c r="L29" s="35">
        <f t="shared" si="2"/>
        <v>429</v>
      </c>
      <c r="M29" s="33"/>
      <c r="N29" s="36"/>
      <c r="O29" s="15" t="s">
        <v>19</v>
      </c>
      <c r="P29" s="70">
        <v>480</v>
      </c>
      <c r="Q29" s="70">
        <v>648</v>
      </c>
      <c r="R29" s="70">
        <v>734</v>
      </c>
      <c r="S29" s="70">
        <v>690</v>
      </c>
      <c r="T29" s="70">
        <v>750</v>
      </c>
      <c r="U29" s="70">
        <v>640</v>
      </c>
      <c r="V29" s="70">
        <v>690</v>
      </c>
      <c r="W29" s="70">
        <v>398</v>
      </c>
      <c r="X29" s="35">
        <f t="shared" si="3"/>
        <v>628.75</v>
      </c>
    </row>
    <row r="30" spans="1:35" s="79" customFormat="1" x14ac:dyDescent="0.25">
      <c r="A30" s="33"/>
      <c r="B30" s="36"/>
      <c r="C30" s="15" t="s">
        <v>21</v>
      </c>
      <c r="D30" s="70">
        <v>480</v>
      </c>
      <c r="E30" s="70">
        <v>242</v>
      </c>
      <c r="F30" s="70">
        <v>248</v>
      </c>
      <c r="G30" s="70">
        <v>234</v>
      </c>
      <c r="H30" s="70">
        <v>246</v>
      </c>
      <c r="I30" s="70">
        <v>206</v>
      </c>
      <c r="J30" s="70">
        <v>270</v>
      </c>
      <c r="K30" s="70">
        <v>292</v>
      </c>
      <c r="L30" s="35">
        <f t="shared" si="2"/>
        <v>277.25</v>
      </c>
      <c r="M30" s="33"/>
      <c r="N30" s="36"/>
      <c r="O30" s="15" t="s">
        <v>21</v>
      </c>
      <c r="P30" s="70">
        <v>720</v>
      </c>
      <c r="Q30" s="70">
        <v>678</v>
      </c>
      <c r="R30" s="70">
        <v>720</v>
      </c>
      <c r="S30" s="70">
        <v>780</v>
      </c>
      <c r="T30" s="70">
        <v>670</v>
      </c>
      <c r="U30" s="70">
        <v>654</v>
      </c>
      <c r="V30" s="70">
        <v>780</v>
      </c>
      <c r="W30" s="70">
        <v>670</v>
      </c>
      <c r="X30" s="35">
        <f t="shared" si="3"/>
        <v>709</v>
      </c>
    </row>
    <row r="31" spans="1:35" s="79" customFormat="1" x14ac:dyDescent="0.25">
      <c r="A31" s="33"/>
      <c r="B31" s="36"/>
      <c r="C31" s="16" t="s">
        <v>56</v>
      </c>
      <c r="D31" s="55"/>
      <c r="E31" s="55"/>
      <c r="F31" s="55"/>
      <c r="G31" s="55"/>
      <c r="H31" s="55"/>
      <c r="I31" s="55"/>
      <c r="J31" s="55"/>
      <c r="K31" s="55"/>
      <c r="L31" s="17">
        <f>AVERAGE(L23:L30)</f>
        <v>410.90625</v>
      </c>
      <c r="M31" s="21"/>
      <c r="N31" s="36"/>
      <c r="O31" s="16" t="s">
        <v>56</v>
      </c>
      <c r="P31" s="55"/>
      <c r="Q31" s="55"/>
      <c r="R31" s="55"/>
      <c r="S31" s="55"/>
      <c r="T31" s="55"/>
      <c r="U31" s="55"/>
      <c r="V31" s="55"/>
      <c r="W31" s="55"/>
      <c r="X31" s="17">
        <f>AVERAGE(X23:X30)</f>
        <v>583.375</v>
      </c>
    </row>
    <row r="32" spans="1:35" s="79" customFormat="1" x14ac:dyDescent="0.25">
      <c r="A32" s="33"/>
      <c r="B32" s="36"/>
      <c r="C32" s="16" t="s">
        <v>22</v>
      </c>
      <c r="D32" s="55"/>
      <c r="E32" s="55"/>
      <c r="F32" s="55"/>
      <c r="G32" s="55"/>
      <c r="H32" s="55"/>
      <c r="I32" s="55"/>
      <c r="J32" s="55"/>
      <c r="K32" s="55"/>
      <c r="L32" s="17">
        <f>_xlfn.STDEV.S(L23:L30)</f>
        <v>92.403418449056474</v>
      </c>
      <c r="M32" s="21"/>
      <c r="N32" s="36"/>
      <c r="O32" s="16" t="s">
        <v>22</v>
      </c>
      <c r="P32" s="55"/>
      <c r="Q32" s="55"/>
      <c r="R32" s="55"/>
      <c r="S32" s="55"/>
      <c r="T32" s="55"/>
      <c r="U32" s="55"/>
      <c r="V32" s="55"/>
      <c r="W32" s="55"/>
      <c r="X32" s="17">
        <f>_xlfn.STDEV.S(X23:X30)</f>
        <v>135.91331270861059</v>
      </c>
    </row>
    <row r="33" spans="1:24" s="79" customFormat="1" x14ac:dyDescent="0.25">
      <c r="A33" s="33"/>
      <c r="B33" s="4" t="s">
        <v>4</v>
      </c>
      <c r="C33" s="5" t="s">
        <v>262</v>
      </c>
      <c r="D33" s="46" t="s">
        <v>143</v>
      </c>
      <c r="E33" s="46" t="s">
        <v>144</v>
      </c>
      <c r="F33" s="46" t="s">
        <v>145</v>
      </c>
      <c r="G33" s="5" t="s">
        <v>146</v>
      </c>
      <c r="H33" s="5" t="s">
        <v>147</v>
      </c>
      <c r="I33" s="5" t="s">
        <v>148</v>
      </c>
      <c r="J33" s="5" t="s">
        <v>149</v>
      </c>
      <c r="K33" s="5" t="s">
        <v>150</v>
      </c>
      <c r="L33" s="6" t="s">
        <v>238</v>
      </c>
      <c r="M33" s="33"/>
      <c r="N33" s="4" t="s">
        <v>25</v>
      </c>
      <c r="O33" s="5" t="s">
        <v>262</v>
      </c>
      <c r="P33" s="46" t="s">
        <v>143</v>
      </c>
      <c r="Q33" s="46" t="s">
        <v>144</v>
      </c>
      <c r="R33" s="46" t="s">
        <v>145</v>
      </c>
      <c r="S33" s="5" t="s">
        <v>146</v>
      </c>
      <c r="T33" s="5" t="s">
        <v>147</v>
      </c>
      <c r="U33" s="5" t="s">
        <v>148</v>
      </c>
      <c r="V33" s="5" t="s">
        <v>149</v>
      </c>
      <c r="W33" s="5" t="s">
        <v>150</v>
      </c>
      <c r="X33" s="6" t="s">
        <v>238</v>
      </c>
    </row>
    <row r="34" spans="1:24" s="79" customFormat="1" x14ac:dyDescent="0.25">
      <c r="A34" s="33"/>
      <c r="B34" s="43" t="s">
        <v>157</v>
      </c>
      <c r="C34" s="13" t="s">
        <v>5</v>
      </c>
      <c r="D34" s="70">
        <v>280</v>
      </c>
      <c r="E34" s="70">
        <v>332</v>
      </c>
      <c r="F34" s="70">
        <v>244</v>
      </c>
      <c r="G34" s="70">
        <v>130</v>
      </c>
      <c r="H34" s="70">
        <v>236</v>
      </c>
      <c r="I34" s="70">
        <v>294</v>
      </c>
      <c r="J34" s="70">
        <v>264</v>
      </c>
      <c r="K34" s="70">
        <v>306</v>
      </c>
      <c r="L34" s="35">
        <f t="shared" ref="L34:L41" si="4">AVERAGE(D34:K34)</f>
        <v>260.75</v>
      </c>
      <c r="M34" s="33"/>
      <c r="N34" s="43" t="s">
        <v>157</v>
      </c>
      <c r="O34" s="13" t="s">
        <v>5</v>
      </c>
      <c r="P34" s="70">
        <v>444</v>
      </c>
      <c r="Q34" s="70">
        <v>590</v>
      </c>
      <c r="R34" s="70">
        <v>320</v>
      </c>
      <c r="S34" s="70">
        <v>141</v>
      </c>
      <c r="T34" s="70">
        <v>174</v>
      </c>
      <c r="U34" s="70">
        <v>502</v>
      </c>
      <c r="V34" s="70">
        <v>664</v>
      </c>
      <c r="W34" s="70">
        <v>444</v>
      </c>
      <c r="X34" s="35">
        <f t="shared" ref="X34:X37" si="5">AVERAGE(P34:W34)</f>
        <v>409.875</v>
      </c>
    </row>
    <row r="35" spans="1:24" s="79" customFormat="1" x14ac:dyDescent="0.25">
      <c r="A35" s="33"/>
      <c r="B35" s="36"/>
      <c r="C35" s="15" t="s">
        <v>6</v>
      </c>
      <c r="D35" s="70">
        <v>282</v>
      </c>
      <c r="E35" s="70">
        <v>200</v>
      </c>
      <c r="F35" s="70">
        <v>196</v>
      </c>
      <c r="G35" s="70">
        <v>198</v>
      </c>
      <c r="H35" s="70">
        <v>340</v>
      </c>
      <c r="I35" s="70">
        <v>218</v>
      </c>
      <c r="J35" s="70">
        <v>208</v>
      </c>
      <c r="K35" s="70">
        <v>218</v>
      </c>
      <c r="L35" s="35">
        <f t="shared" si="4"/>
        <v>232.5</v>
      </c>
      <c r="M35" s="33"/>
      <c r="N35" s="36"/>
      <c r="O35" s="15" t="s">
        <v>6</v>
      </c>
      <c r="P35" s="70">
        <v>680</v>
      </c>
      <c r="Q35" s="70">
        <v>580</v>
      </c>
      <c r="R35" s="70">
        <v>720</v>
      </c>
      <c r="S35" s="70">
        <v>662</v>
      </c>
      <c r="T35" s="70">
        <v>526</v>
      </c>
      <c r="U35" s="70">
        <v>720</v>
      </c>
      <c r="V35" s="70">
        <v>680</v>
      </c>
      <c r="W35" s="70">
        <v>650</v>
      </c>
      <c r="X35" s="35">
        <f t="shared" si="5"/>
        <v>652.25</v>
      </c>
    </row>
    <row r="36" spans="1:24" s="79" customFormat="1" x14ac:dyDescent="0.25">
      <c r="A36" s="33"/>
      <c r="B36" s="36"/>
      <c r="C36" s="15" t="s">
        <v>7</v>
      </c>
      <c r="D36" s="70">
        <v>240</v>
      </c>
      <c r="E36" s="70">
        <v>390</v>
      </c>
      <c r="F36" s="70">
        <v>280</v>
      </c>
      <c r="G36" s="70">
        <v>260</v>
      </c>
      <c r="H36" s="70">
        <v>180</v>
      </c>
      <c r="I36" s="70">
        <v>170</v>
      </c>
      <c r="J36" s="70">
        <v>220</v>
      </c>
      <c r="K36" s="70">
        <v>401</v>
      </c>
      <c r="L36" s="35">
        <f t="shared" si="4"/>
        <v>267.625</v>
      </c>
      <c r="M36" s="33"/>
      <c r="N36" s="36"/>
      <c r="O36" s="15" t="s">
        <v>7</v>
      </c>
      <c r="P36" s="70">
        <v>580</v>
      </c>
      <c r="Q36" s="70">
        <v>490</v>
      </c>
      <c r="R36" s="70">
        <v>480</v>
      </c>
      <c r="S36" s="70">
        <v>240</v>
      </c>
      <c r="T36" s="70">
        <v>260</v>
      </c>
      <c r="U36" s="70">
        <v>730</v>
      </c>
      <c r="V36" s="70">
        <v>587</v>
      </c>
      <c r="W36" s="70">
        <v>340</v>
      </c>
      <c r="X36" s="35">
        <f t="shared" si="5"/>
        <v>463.375</v>
      </c>
    </row>
    <row r="37" spans="1:24" s="79" customFormat="1" x14ac:dyDescent="0.25">
      <c r="A37" s="33"/>
      <c r="B37" s="36"/>
      <c r="C37" s="15" t="s">
        <v>8</v>
      </c>
      <c r="D37" s="70">
        <v>260</v>
      </c>
      <c r="E37" s="70">
        <v>280</v>
      </c>
      <c r="F37" s="70">
        <v>240</v>
      </c>
      <c r="G37" s="70">
        <v>150</v>
      </c>
      <c r="H37" s="70">
        <v>210</v>
      </c>
      <c r="I37" s="70">
        <v>200</v>
      </c>
      <c r="J37" s="70">
        <v>230</v>
      </c>
      <c r="K37" s="70">
        <v>190</v>
      </c>
      <c r="L37" s="35">
        <f t="shared" si="4"/>
        <v>220</v>
      </c>
      <c r="M37" s="33"/>
      <c r="N37" s="36"/>
      <c r="O37" s="15" t="s">
        <v>8</v>
      </c>
      <c r="P37" s="70">
        <v>680</v>
      </c>
      <c r="Q37" s="70">
        <v>690</v>
      </c>
      <c r="R37" s="70">
        <v>872</v>
      </c>
      <c r="S37" s="70">
        <v>550</v>
      </c>
      <c r="T37" s="70">
        <v>670</v>
      </c>
      <c r="U37" s="70">
        <v>760</v>
      </c>
      <c r="V37" s="70">
        <v>784</v>
      </c>
      <c r="W37" s="70">
        <v>730</v>
      </c>
      <c r="X37" s="35">
        <f t="shared" si="5"/>
        <v>717</v>
      </c>
    </row>
    <row r="38" spans="1:24" s="79" customFormat="1" x14ac:dyDescent="0.25">
      <c r="A38" s="33"/>
      <c r="B38" s="36"/>
      <c r="C38" s="15" t="s">
        <v>14</v>
      </c>
      <c r="D38" s="70">
        <v>232</v>
      </c>
      <c r="E38" s="70">
        <v>202</v>
      </c>
      <c r="F38" s="70">
        <v>300</v>
      </c>
      <c r="G38" s="70">
        <v>382</v>
      </c>
      <c r="H38" s="70">
        <v>500</v>
      </c>
      <c r="I38" s="70">
        <v>520</v>
      </c>
      <c r="J38" s="70">
        <v>280</v>
      </c>
      <c r="K38" s="70">
        <v>300</v>
      </c>
      <c r="L38" s="35">
        <f t="shared" si="4"/>
        <v>339.5</v>
      </c>
      <c r="M38" s="33"/>
      <c r="N38" s="36"/>
      <c r="O38" s="15"/>
      <c r="P38" s="15"/>
      <c r="Q38" s="15"/>
      <c r="R38" s="15"/>
      <c r="S38" s="15"/>
      <c r="T38" s="15"/>
      <c r="U38" s="15"/>
      <c r="V38" s="15"/>
      <c r="W38" s="15"/>
      <c r="X38" s="37"/>
    </row>
    <row r="39" spans="1:24" s="79" customFormat="1" x14ac:dyDescent="0.25">
      <c r="A39" s="33"/>
      <c r="B39" s="36"/>
      <c r="C39" s="15" t="s">
        <v>15</v>
      </c>
      <c r="D39" s="70">
        <v>232</v>
      </c>
      <c r="E39" s="70">
        <v>268</v>
      </c>
      <c r="F39" s="70">
        <v>232</v>
      </c>
      <c r="G39" s="70">
        <v>226</v>
      </c>
      <c r="H39" s="70">
        <v>268</v>
      </c>
      <c r="I39" s="70">
        <v>310</v>
      </c>
      <c r="J39" s="70">
        <v>304</v>
      </c>
      <c r="K39" s="70">
        <v>240</v>
      </c>
      <c r="L39" s="35">
        <f t="shared" si="4"/>
        <v>260</v>
      </c>
      <c r="M39" s="33"/>
      <c r="N39" s="36"/>
      <c r="O39" s="15"/>
      <c r="P39" s="15"/>
      <c r="Q39" s="15"/>
      <c r="R39" s="15"/>
      <c r="S39" s="15"/>
      <c r="T39" s="15"/>
      <c r="U39" s="15"/>
      <c r="V39" s="15"/>
      <c r="W39" s="15"/>
      <c r="X39" s="37"/>
    </row>
    <row r="40" spans="1:24" s="79" customFormat="1" x14ac:dyDescent="0.25">
      <c r="A40" s="33"/>
      <c r="B40" s="36"/>
      <c r="C40" s="15" t="s">
        <v>19</v>
      </c>
      <c r="D40" s="70">
        <v>380</v>
      </c>
      <c r="E40" s="70">
        <v>280</v>
      </c>
      <c r="F40" s="70">
        <v>340</v>
      </c>
      <c r="G40" s="70">
        <v>264</v>
      </c>
      <c r="H40" s="70">
        <v>400</v>
      </c>
      <c r="I40" s="70">
        <v>460</v>
      </c>
      <c r="J40" s="70">
        <v>312</v>
      </c>
      <c r="K40" s="70">
        <v>400</v>
      </c>
      <c r="L40" s="35">
        <f t="shared" si="4"/>
        <v>354.5</v>
      </c>
      <c r="M40" s="33"/>
      <c r="N40" s="36"/>
      <c r="O40" s="15"/>
      <c r="P40" s="15"/>
      <c r="Q40" s="15"/>
      <c r="R40" s="15"/>
      <c r="S40" s="15"/>
      <c r="T40" s="15"/>
      <c r="U40" s="15"/>
      <c r="V40" s="15"/>
      <c r="W40" s="15"/>
      <c r="X40" s="37"/>
    </row>
    <row r="41" spans="1:24" s="79" customFormat="1" x14ac:dyDescent="0.25">
      <c r="A41" s="33"/>
      <c r="B41" s="36"/>
      <c r="C41" s="15" t="s">
        <v>21</v>
      </c>
      <c r="D41" s="70">
        <v>284</v>
      </c>
      <c r="E41" s="70">
        <v>280</v>
      </c>
      <c r="F41" s="70">
        <v>406</v>
      </c>
      <c r="G41" s="70">
        <v>450</v>
      </c>
      <c r="H41" s="70">
        <v>310</v>
      </c>
      <c r="I41" s="70">
        <v>220</v>
      </c>
      <c r="J41" s="70">
        <v>290</v>
      </c>
      <c r="K41" s="70">
        <v>274</v>
      </c>
      <c r="L41" s="35">
        <f t="shared" si="4"/>
        <v>314.25</v>
      </c>
      <c r="M41" s="33"/>
      <c r="N41" s="36"/>
      <c r="O41" s="15"/>
      <c r="P41" s="15"/>
      <c r="Q41" s="15"/>
      <c r="R41" s="15"/>
      <c r="S41" s="15"/>
      <c r="T41" s="15"/>
      <c r="U41" s="15"/>
      <c r="V41" s="15"/>
      <c r="W41" s="15"/>
      <c r="X41" s="37"/>
    </row>
    <row r="42" spans="1:24" s="79" customFormat="1" x14ac:dyDescent="0.25">
      <c r="A42" s="33"/>
      <c r="B42" s="36"/>
      <c r="C42" s="16" t="s">
        <v>56</v>
      </c>
      <c r="D42" s="55"/>
      <c r="E42" s="55"/>
      <c r="F42" s="55"/>
      <c r="G42" s="55"/>
      <c r="H42" s="55"/>
      <c r="I42" s="55"/>
      <c r="J42" s="55"/>
      <c r="K42" s="55"/>
      <c r="L42" s="17">
        <f>AVERAGE(L34:L41)</f>
        <v>281.140625</v>
      </c>
      <c r="M42" s="21"/>
      <c r="N42" s="36"/>
      <c r="O42" s="16" t="s">
        <v>56</v>
      </c>
      <c r="P42" s="55"/>
      <c r="Q42" s="55"/>
      <c r="R42" s="55"/>
      <c r="S42" s="55"/>
      <c r="T42" s="55"/>
      <c r="U42" s="55"/>
      <c r="V42" s="55"/>
      <c r="W42" s="55"/>
      <c r="X42" s="17">
        <f>AVERAGE(X34:X41)</f>
        <v>560.625</v>
      </c>
    </row>
    <row r="43" spans="1:24" s="79" customFormat="1" x14ac:dyDescent="0.25">
      <c r="A43" s="33"/>
      <c r="B43" s="36"/>
      <c r="C43" s="16" t="s">
        <v>22</v>
      </c>
      <c r="D43" s="55"/>
      <c r="E43" s="55"/>
      <c r="F43" s="55"/>
      <c r="G43" s="55"/>
      <c r="H43" s="55"/>
      <c r="I43" s="55"/>
      <c r="J43" s="55"/>
      <c r="K43" s="55"/>
      <c r="L43" s="17">
        <f>_xlfn.STDEV.S(L34:L41)</f>
        <v>49.328501500327953</v>
      </c>
      <c r="M43" s="21"/>
      <c r="N43" s="36"/>
      <c r="O43" s="16" t="s">
        <v>22</v>
      </c>
      <c r="P43" s="55"/>
      <c r="Q43" s="55"/>
      <c r="R43" s="55"/>
      <c r="S43" s="55"/>
      <c r="T43" s="55"/>
      <c r="U43" s="55"/>
      <c r="V43" s="55"/>
      <c r="W43" s="55"/>
      <c r="X43" s="17">
        <f>_xlfn.STDEV.S(X34:X41)</f>
        <v>147.2315707199603</v>
      </c>
    </row>
    <row r="44" spans="1:24" s="79" customFormat="1" x14ac:dyDescent="0.25">
      <c r="A44" s="33"/>
      <c r="B44" s="4" t="s">
        <v>4</v>
      </c>
      <c r="C44" s="5" t="s">
        <v>262</v>
      </c>
      <c r="D44" s="46" t="s">
        <v>143</v>
      </c>
      <c r="E44" s="46" t="s">
        <v>144</v>
      </c>
      <c r="F44" s="46" t="s">
        <v>145</v>
      </c>
      <c r="G44" s="5" t="s">
        <v>146</v>
      </c>
      <c r="H44" s="5" t="s">
        <v>147</v>
      </c>
      <c r="I44" s="5" t="s">
        <v>148</v>
      </c>
      <c r="J44" s="5" t="s">
        <v>149</v>
      </c>
      <c r="K44" s="5" t="s">
        <v>150</v>
      </c>
      <c r="L44" s="6" t="s">
        <v>238</v>
      </c>
      <c r="M44" s="33"/>
      <c r="N44" s="4" t="s">
        <v>25</v>
      </c>
      <c r="O44" s="5" t="s">
        <v>262</v>
      </c>
      <c r="P44" s="46" t="s">
        <v>143</v>
      </c>
      <c r="Q44" s="46" t="s">
        <v>144</v>
      </c>
      <c r="R44" s="46" t="s">
        <v>145</v>
      </c>
      <c r="S44" s="5" t="s">
        <v>146</v>
      </c>
      <c r="T44" s="5" t="s">
        <v>147</v>
      </c>
      <c r="U44" s="5" t="s">
        <v>148</v>
      </c>
      <c r="V44" s="5" t="s">
        <v>149</v>
      </c>
      <c r="W44" s="5" t="s">
        <v>150</v>
      </c>
      <c r="X44" s="6" t="s">
        <v>238</v>
      </c>
    </row>
    <row r="45" spans="1:24" s="79" customFormat="1" x14ac:dyDescent="0.25">
      <c r="A45" s="33"/>
      <c r="B45" s="43" t="s">
        <v>158</v>
      </c>
      <c r="C45" s="13" t="s">
        <v>5</v>
      </c>
      <c r="D45" s="70">
        <v>190</v>
      </c>
      <c r="E45" s="70">
        <v>160</v>
      </c>
      <c r="F45" s="70">
        <v>140</v>
      </c>
      <c r="G45" s="70">
        <v>130</v>
      </c>
      <c r="H45" s="70">
        <v>180</v>
      </c>
      <c r="I45" s="70">
        <v>186</v>
      </c>
      <c r="J45" s="70">
        <v>156</v>
      </c>
      <c r="K45" s="70">
        <v>168</v>
      </c>
      <c r="L45" s="35">
        <f t="shared" ref="L45:L51" si="6">AVERAGE(D45:K45)</f>
        <v>163.75</v>
      </c>
      <c r="M45" s="33"/>
      <c r="N45" s="43" t="s">
        <v>158</v>
      </c>
      <c r="O45" s="13" t="s">
        <v>5</v>
      </c>
      <c r="P45" s="70">
        <v>640</v>
      </c>
      <c r="Q45" s="70">
        <v>610</v>
      </c>
      <c r="R45" s="70">
        <v>580</v>
      </c>
      <c r="S45" s="70">
        <v>540</v>
      </c>
      <c r="T45" s="70">
        <v>720</v>
      </c>
      <c r="U45" s="70">
        <v>680</v>
      </c>
      <c r="V45" s="70">
        <v>730</v>
      </c>
      <c r="W45" s="70">
        <v>720</v>
      </c>
      <c r="X45" s="35">
        <f t="shared" ref="X45:X48" si="7">AVERAGE(P45:W45)</f>
        <v>652.5</v>
      </c>
    </row>
    <row r="46" spans="1:24" s="79" customFormat="1" x14ac:dyDescent="0.25">
      <c r="A46" s="33"/>
      <c r="B46" s="36"/>
      <c r="C46" s="15" t="s">
        <v>6</v>
      </c>
      <c r="D46" s="70">
        <v>240</v>
      </c>
      <c r="E46" s="70">
        <v>120</v>
      </c>
      <c r="F46" s="70">
        <v>160</v>
      </c>
      <c r="G46" s="70">
        <v>130</v>
      </c>
      <c r="H46" s="70">
        <v>120</v>
      </c>
      <c r="I46" s="70">
        <v>156</v>
      </c>
      <c r="J46" s="70">
        <v>178</v>
      </c>
      <c r="K46" s="70">
        <v>210</v>
      </c>
      <c r="L46" s="35">
        <f t="shared" si="6"/>
        <v>164.25</v>
      </c>
      <c r="M46" s="33"/>
      <c r="N46" s="36"/>
      <c r="O46" s="15" t="s">
        <v>6</v>
      </c>
      <c r="P46" s="70">
        <v>240</v>
      </c>
      <c r="Q46" s="70">
        <v>450</v>
      </c>
      <c r="R46" s="70">
        <v>320</v>
      </c>
      <c r="S46" s="70">
        <v>480</v>
      </c>
      <c r="T46" s="70">
        <v>300</v>
      </c>
      <c r="U46" s="70">
        <v>360</v>
      </c>
      <c r="V46" s="70">
        <v>396</v>
      </c>
      <c r="W46" s="70">
        <v>300</v>
      </c>
      <c r="X46" s="35">
        <f t="shared" si="7"/>
        <v>355.75</v>
      </c>
    </row>
    <row r="47" spans="1:24" s="79" customFormat="1" x14ac:dyDescent="0.25">
      <c r="A47" s="33"/>
      <c r="B47" s="36"/>
      <c r="C47" s="15" t="s">
        <v>7</v>
      </c>
      <c r="D47" s="70">
        <v>90</v>
      </c>
      <c r="E47" s="70">
        <v>120</v>
      </c>
      <c r="F47" s="70">
        <v>140</v>
      </c>
      <c r="G47" s="70">
        <v>90</v>
      </c>
      <c r="H47" s="70">
        <v>210</v>
      </c>
      <c r="I47" s="70">
        <v>180</v>
      </c>
      <c r="J47" s="70">
        <v>210</v>
      </c>
      <c r="K47" s="70">
        <v>80</v>
      </c>
      <c r="L47" s="35">
        <f t="shared" si="6"/>
        <v>140</v>
      </c>
      <c r="M47" s="33"/>
      <c r="N47" s="36"/>
      <c r="O47" s="15" t="s">
        <v>7</v>
      </c>
      <c r="P47" s="70">
        <v>520</v>
      </c>
      <c r="Q47" s="70">
        <v>380</v>
      </c>
      <c r="R47" s="70">
        <v>420</v>
      </c>
      <c r="S47" s="70">
        <v>320</v>
      </c>
      <c r="T47" s="70">
        <v>260</v>
      </c>
      <c r="U47" s="70">
        <v>420</v>
      </c>
      <c r="V47" s="70">
        <v>390</v>
      </c>
      <c r="W47" s="70">
        <v>480</v>
      </c>
      <c r="X47" s="35">
        <f t="shared" si="7"/>
        <v>398.75</v>
      </c>
    </row>
    <row r="48" spans="1:24" s="79" customFormat="1" x14ac:dyDescent="0.25">
      <c r="A48" s="33"/>
      <c r="B48" s="36"/>
      <c r="C48" s="15" t="s">
        <v>8</v>
      </c>
      <c r="D48" s="70">
        <v>86</v>
      </c>
      <c r="E48" s="70">
        <v>80</v>
      </c>
      <c r="F48" s="70">
        <v>130</v>
      </c>
      <c r="G48" s="70">
        <v>140</v>
      </c>
      <c r="H48" s="70">
        <v>120</v>
      </c>
      <c r="I48" s="70">
        <v>80</v>
      </c>
      <c r="J48" s="70">
        <v>120</v>
      </c>
      <c r="K48" s="70">
        <v>110</v>
      </c>
      <c r="L48" s="35">
        <f t="shared" si="6"/>
        <v>108.25</v>
      </c>
      <c r="M48" s="33"/>
      <c r="N48" s="36"/>
      <c r="O48" s="15" t="s">
        <v>8</v>
      </c>
      <c r="P48" s="70">
        <v>480</v>
      </c>
      <c r="Q48" s="70">
        <v>460</v>
      </c>
      <c r="R48" s="70">
        <v>420</v>
      </c>
      <c r="S48" s="70">
        <v>318</v>
      </c>
      <c r="T48" s="70">
        <v>430</v>
      </c>
      <c r="U48" s="70">
        <v>380</v>
      </c>
      <c r="V48" s="70">
        <v>320</v>
      </c>
      <c r="W48" s="70">
        <v>490</v>
      </c>
      <c r="X48" s="35">
        <f t="shared" si="7"/>
        <v>412.25</v>
      </c>
    </row>
    <row r="49" spans="1:24" s="79" customFormat="1" x14ac:dyDescent="0.25">
      <c r="A49" s="33"/>
      <c r="B49" s="36"/>
      <c r="C49" s="15" t="s">
        <v>14</v>
      </c>
      <c r="D49" s="70">
        <v>88</v>
      </c>
      <c r="E49" s="70">
        <v>180</v>
      </c>
      <c r="F49" s="70">
        <v>208</v>
      </c>
      <c r="G49" s="70">
        <v>288</v>
      </c>
      <c r="H49" s="70">
        <v>254</v>
      </c>
      <c r="I49" s="70">
        <v>84</v>
      </c>
      <c r="J49" s="70">
        <v>150</v>
      </c>
      <c r="K49" s="70">
        <v>160</v>
      </c>
      <c r="L49" s="35">
        <f t="shared" si="6"/>
        <v>176.5</v>
      </c>
      <c r="M49" s="33"/>
      <c r="N49" s="36"/>
      <c r="O49" s="15"/>
      <c r="P49" s="15"/>
      <c r="Q49" s="15"/>
      <c r="R49" s="15"/>
      <c r="S49" s="15"/>
      <c r="T49" s="15"/>
      <c r="U49" s="15"/>
      <c r="V49" s="15"/>
      <c r="W49" s="15"/>
      <c r="X49" s="37"/>
    </row>
    <row r="50" spans="1:24" s="79" customFormat="1" x14ac:dyDescent="0.25">
      <c r="A50" s="33"/>
      <c r="B50" s="36"/>
      <c r="C50" s="15" t="s">
        <v>15</v>
      </c>
      <c r="D50" s="70">
        <v>120</v>
      </c>
      <c r="E50" s="70">
        <v>152</v>
      </c>
      <c r="F50" s="70">
        <v>294</v>
      </c>
      <c r="G50" s="70">
        <v>240</v>
      </c>
      <c r="H50" s="70">
        <v>122</v>
      </c>
      <c r="I50" s="70">
        <v>96</v>
      </c>
      <c r="J50" s="70">
        <v>180</v>
      </c>
      <c r="K50" s="70">
        <v>180</v>
      </c>
      <c r="L50" s="35">
        <f t="shared" si="6"/>
        <v>173</v>
      </c>
      <c r="M50" s="33"/>
      <c r="N50" s="36"/>
      <c r="O50" s="15"/>
      <c r="P50" s="15"/>
      <c r="Q50" s="15"/>
      <c r="R50" s="15"/>
      <c r="S50" s="15"/>
      <c r="T50" s="15"/>
      <c r="U50" s="15"/>
      <c r="V50" s="15"/>
      <c r="W50" s="15"/>
      <c r="X50" s="37"/>
    </row>
    <row r="51" spans="1:24" s="79" customFormat="1" x14ac:dyDescent="0.25">
      <c r="A51" s="33"/>
      <c r="B51" s="36"/>
      <c r="C51" s="15" t="s">
        <v>19</v>
      </c>
      <c r="D51" s="70">
        <v>228</v>
      </c>
      <c r="E51" s="70">
        <v>214</v>
      </c>
      <c r="F51" s="70">
        <v>162</v>
      </c>
      <c r="G51" s="70">
        <v>198</v>
      </c>
      <c r="H51" s="70">
        <v>198</v>
      </c>
      <c r="I51" s="70">
        <v>180</v>
      </c>
      <c r="J51" s="70">
        <v>226</v>
      </c>
      <c r="K51" s="70">
        <v>174</v>
      </c>
      <c r="L51" s="35">
        <f t="shared" si="6"/>
        <v>197.5</v>
      </c>
      <c r="M51" s="33"/>
      <c r="N51" s="36"/>
      <c r="O51" s="15"/>
      <c r="P51" s="15"/>
      <c r="Q51" s="15"/>
      <c r="R51" s="15"/>
      <c r="S51" s="15"/>
      <c r="T51" s="15"/>
      <c r="U51" s="15"/>
      <c r="V51" s="15"/>
      <c r="W51" s="15"/>
      <c r="X51" s="37"/>
    </row>
    <row r="52" spans="1:24" s="79" customFormat="1" x14ac:dyDescent="0.25">
      <c r="A52" s="33"/>
      <c r="B52" s="36"/>
      <c r="C52" s="16" t="s">
        <v>56</v>
      </c>
      <c r="D52" s="55"/>
      <c r="E52" s="55"/>
      <c r="F52" s="55"/>
      <c r="G52" s="55"/>
      <c r="H52" s="55"/>
      <c r="I52" s="55"/>
      <c r="J52" s="55"/>
      <c r="K52" s="55"/>
      <c r="L52" s="17">
        <f>AVERAGE(L45:L51)</f>
        <v>160.46428571428572</v>
      </c>
      <c r="M52" s="21"/>
      <c r="N52" s="36"/>
      <c r="O52" s="16" t="s">
        <v>56</v>
      </c>
      <c r="P52" s="55"/>
      <c r="Q52" s="55"/>
      <c r="R52" s="55"/>
      <c r="S52" s="55"/>
      <c r="T52" s="55"/>
      <c r="U52" s="55"/>
      <c r="V52" s="55"/>
      <c r="W52" s="55"/>
      <c r="X52" s="17">
        <f>AVERAGE(X45:X51)</f>
        <v>454.8125</v>
      </c>
    </row>
    <row r="53" spans="1:24" s="79" customFormat="1" x14ac:dyDescent="0.25">
      <c r="A53" s="33"/>
      <c r="B53" s="36"/>
      <c r="C53" s="16" t="s">
        <v>22</v>
      </c>
      <c r="D53" s="55"/>
      <c r="E53" s="55"/>
      <c r="F53" s="55"/>
      <c r="G53" s="55"/>
      <c r="H53" s="55"/>
      <c r="I53" s="55"/>
      <c r="J53" s="55"/>
      <c r="K53" s="55"/>
      <c r="L53" s="17">
        <f>_xlfn.STDEV.S(L45:L51)</f>
        <v>28.740733496289952</v>
      </c>
      <c r="M53" s="21"/>
      <c r="N53" s="36"/>
      <c r="O53" s="16" t="s">
        <v>22</v>
      </c>
      <c r="P53" s="55"/>
      <c r="Q53" s="55"/>
      <c r="R53" s="55"/>
      <c r="S53" s="55"/>
      <c r="T53" s="55"/>
      <c r="U53" s="55"/>
      <c r="V53" s="55"/>
      <c r="W53" s="55"/>
      <c r="X53" s="17">
        <f>_xlfn.STDEV.S(X45:X51)</f>
        <v>133.97549138430756</v>
      </c>
    </row>
    <row r="54" spans="1:24" s="79" customFormat="1" x14ac:dyDescent="0.25">
      <c r="B54" s="4" t="s">
        <v>4</v>
      </c>
      <c r="C54" s="5" t="s">
        <v>262</v>
      </c>
      <c r="D54" s="46" t="s">
        <v>143</v>
      </c>
      <c r="E54" s="46" t="s">
        <v>144</v>
      </c>
      <c r="F54" s="46" t="s">
        <v>145</v>
      </c>
      <c r="G54" s="5" t="s">
        <v>146</v>
      </c>
      <c r="H54" s="5" t="s">
        <v>147</v>
      </c>
      <c r="I54" s="5" t="s">
        <v>148</v>
      </c>
      <c r="J54" s="5" t="s">
        <v>149</v>
      </c>
      <c r="K54" s="5" t="s">
        <v>150</v>
      </c>
      <c r="L54" s="6" t="s">
        <v>238</v>
      </c>
      <c r="M54" s="33"/>
      <c r="N54" s="4" t="s">
        <v>25</v>
      </c>
      <c r="O54" s="5" t="s">
        <v>262</v>
      </c>
      <c r="P54" s="46" t="s">
        <v>143</v>
      </c>
      <c r="Q54" s="46" t="s">
        <v>144</v>
      </c>
      <c r="R54" s="46" t="s">
        <v>145</v>
      </c>
      <c r="S54" s="5" t="s">
        <v>146</v>
      </c>
      <c r="T54" s="5" t="s">
        <v>147</v>
      </c>
      <c r="U54" s="5" t="s">
        <v>148</v>
      </c>
      <c r="V54" s="5" t="s">
        <v>149</v>
      </c>
      <c r="W54" s="5" t="s">
        <v>150</v>
      </c>
      <c r="X54" s="6" t="s">
        <v>238</v>
      </c>
    </row>
    <row r="55" spans="1:24" s="79" customFormat="1" x14ac:dyDescent="0.25">
      <c r="B55" s="43" t="s">
        <v>250</v>
      </c>
      <c r="C55" s="13" t="s">
        <v>5</v>
      </c>
      <c r="D55" s="70">
        <v>62</v>
      </c>
      <c r="E55" s="70">
        <v>66</v>
      </c>
      <c r="F55" s="70">
        <v>102</v>
      </c>
      <c r="G55" s="70">
        <v>90</v>
      </c>
      <c r="H55" s="70">
        <v>40</v>
      </c>
      <c r="I55" s="70">
        <v>46</v>
      </c>
      <c r="J55" s="70">
        <v>60</v>
      </c>
      <c r="K55" s="70">
        <v>90</v>
      </c>
      <c r="L55" s="35">
        <f t="shared" ref="L55:L57" si="8">AVERAGE(D55:K55)</f>
        <v>69.5</v>
      </c>
      <c r="M55" s="33"/>
      <c r="N55" s="43" t="s">
        <v>250</v>
      </c>
      <c r="O55" s="13" t="s">
        <v>5</v>
      </c>
      <c r="P55" s="70">
        <v>384</v>
      </c>
      <c r="Q55" s="70">
        <v>280</v>
      </c>
      <c r="R55" s="70">
        <v>272</v>
      </c>
      <c r="S55" s="70">
        <v>416</v>
      </c>
      <c r="T55" s="70">
        <v>372</v>
      </c>
      <c r="U55" s="70">
        <v>351</v>
      </c>
      <c r="V55" s="70">
        <v>298</v>
      </c>
      <c r="W55" s="70">
        <v>402</v>
      </c>
      <c r="X55" s="35">
        <f t="shared" ref="X55:X62" si="9">AVERAGE(P55:W55)</f>
        <v>346.875</v>
      </c>
    </row>
    <row r="56" spans="1:24" s="79" customFormat="1" x14ac:dyDescent="0.25">
      <c r="B56" s="36"/>
      <c r="C56" s="15" t="s">
        <v>6</v>
      </c>
      <c r="D56" s="70">
        <v>112</v>
      </c>
      <c r="E56" s="70">
        <v>70</v>
      </c>
      <c r="F56" s="70">
        <v>34</v>
      </c>
      <c r="G56" s="70">
        <v>44</v>
      </c>
      <c r="H56" s="70">
        <v>112</v>
      </c>
      <c r="I56" s="70">
        <v>140</v>
      </c>
      <c r="J56" s="70">
        <v>122</v>
      </c>
      <c r="K56" s="70">
        <v>106</v>
      </c>
      <c r="L56" s="35">
        <f t="shared" si="8"/>
        <v>92.5</v>
      </c>
      <c r="M56" s="33"/>
      <c r="N56" s="36"/>
      <c r="O56" s="15" t="s">
        <v>6</v>
      </c>
      <c r="P56" s="70">
        <v>469</v>
      </c>
      <c r="Q56" s="70">
        <v>398</v>
      </c>
      <c r="R56" s="70">
        <v>450</v>
      </c>
      <c r="S56" s="70">
        <v>436</v>
      </c>
      <c r="T56" s="70">
        <v>368</v>
      </c>
      <c r="U56" s="70">
        <v>320</v>
      </c>
      <c r="V56" s="70">
        <v>180</v>
      </c>
      <c r="W56" s="70">
        <v>290</v>
      </c>
      <c r="X56" s="35">
        <f t="shared" si="9"/>
        <v>363.875</v>
      </c>
    </row>
    <row r="57" spans="1:24" s="79" customFormat="1" x14ac:dyDescent="0.25">
      <c r="B57" s="36"/>
      <c r="C57" s="15" t="s">
        <v>7</v>
      </c>
      <c r="D57" s="70">
        <v>98</v>
      </c>
      <c r="E57" s="70">
        <v>80</v>
      </c>
      <c r="F57" s="70">
        <v>120</v>
      </c>
      <c r="G57" s="70">
        <v>70</v>
      </c>
      <c r="H57" s="70">
        <v>74</v>
      </c>
      <c r="I57" s="70">
        <v>90</v>
      </c>
      <c r="J57" s="70">
        <v>110</v>
      </c>
      <c r="K57" s="70">
        <v>80</v>
      </c>
      <c r="L57" s="35">
        <f t="shared" si="8"/>
        <v>90.25</v>
      </c>
      <c r="M57" s="33"/>
      <c r="N57" s="36"/>
      <c r="O57" s="15" t="s">
        <v>7</v>
      </c>
      <c r="P57" s="70">
        <v>456</v>
      </c>
      <c r="Q57" s="70">
        <v>402</v>
      </c>
      <c r="R57" s="70">
        <v>398</v>
      </c>
      <c r="S57" s="70">
        <v>430</v>
      </c>
      <c r="T57" s="70">
        <v>190</v>
      </c>
      <c r="U57" s="70">
        <v>308</v>
      </c>
      <c r="V57" s="70">
        <v>340</v>
      </c>
      <c r="W57" s="70">
        <v>480</v>
      </c>
      <c r="X57" s="35">
        <f t="shared" si="9"/>
        <v>375.5</v>
      </c>
    </row>
    <row r="58" spans="1:24" s="79" customFormat="1" x14ac:dyDescent="0.25">
      <c r="B58" s="36"/>
      <c r="C58" s="15" t="s">
        <v>8</v>
      </c>
      <c r="D58" s="70">
        <v>98</v>
      </c>
      <c r="E58" s="70">
        <v>120</v>
      </c>
      <c r="F58" s="70">
        <v>140</v>
      </c>
      <c r="G58" s="70">
        <v>88</v>
      </c>
      <c r="H58" s="70">
        <v>98</v>
      </c>
      <c r="I58" s="70">
        <v>120</v>
      </c>
      <c r="J58" s="70">
        <v>90</v>
      </c>
      <c r="K58" s="70">
        <v>120</v>
      </c>
      <c r="L58" s="35">
        <f>AVERAGE(D58:K58)</f>
        <v>109.25</v>
      </c>
      <c r="M58" s="33"/>
      <c r="N58" s="36"/>
      <c r="O58" s="15" t="s">
        <v>8</v>
      </c>
      <c r="P58" s="70">
        <v>560</v>
      </c>
      <c r="Q58" s="70">
        <v>458</v>
      </c>
      <c r="R58" s="70">
        <v>360</v>
      </c>
      <c r="S58" s="70">
        <v>340</v>
      </c>
      <c r="T58" s="70">
        <v>460</v>
      </c>
      <c r="U58" s="70">
        <v>340</v>
      </c>
      <c r="V58" s="70">
        <v>310</v>
      </c>
      <c r="W58" s="70">
        <v>450</v>
      </c>
      <c r="X58" s="35">
        <f t="shared" si="9"/>
        <v>409.75</v>
      </c>
    </row>
    <row r="59" spans="1:24" s="79" customFormat="1" x14ac:dyDescent="0.25">
      <c r="B59" s="36"/>
      <c r="C59" s="15" t="s">
        <v>14</v>
      </c>
      <c r="D59" s="70">
        <v>78</v>
      </c>
      <c r="E59" s="70">
        <v>56</v>
      </c>
      <c r="F59" s="70">
        <v>67</v>
      </c>
      <c r="G59" s="70">
        <v>48</v>
      </c>
      <c r="H59" s="70">
        <v>38</v>
      </c>
      <c r="I59" s="70">
        <v>86</v>
      </c>
      <c r="J59" s="70">
        <v>40</v>
      </c>
      <c r="K59" s="70">
        <v>46</v>
      </c>
      <c r="L59" s="35">
        <f t="shared" ref="L59:L61" si="10">AVERAGE(D59:K59)</f>
        <v>57.375</v>
      </c>
      <c r="M59" s="33"/>
      <c r="N59" s="36"/>
      <c r="O59" s="15" t="s">
        <v>14</v>
      </c>
      <c r="P59" s="70">
        <v>232</v>
      </c>
      <c r="Q59" s="70">
        <v>202</v>
      </c>
      <c r="R59" s="70">
        <v>300</v>
      </c>
      <c r="S59" s="70">
        <v>382</v>
      </c>
      <c r="T59" s="70">
        <v>500</v>
      </c>
      <c r="U59" s="70">
        <v>520</v>
      </c>
      <c r="V59" s="70">
        <v>280</v>
      </c>
      <c r="W59" s="70">
        <v>300</v>
      </c>
      <c r="X59" s="35">
        <f t="shared" si="9"/>
        <v>339.5</v>
      </c>
    </row>
    <row r="60" spans="1:24" s="79" customFormat="1" x14ac:dyDescent="0.25">
      <c r="B60" s="36"/>
      <c r="C60" s="15" t="s">
        <v>15</v>
      </c>
      <c r="D60" s="70">
        <v>56</v>
      </c>
      <c r="E60" s="70">
        <v>74</v>
      </c>
      <c r="F60" s="70">
        <v>56</v>
      </c>
      <c r="G60" s="70">
        <v>50</v>
      </c>
      <c r="H60" s="70">
        <v>40</v>
      </c>
      <c r="I60" s="70">
        <v>40</v>
      </c>
      <c r="J60" s="70">
        <v>36</v>
      </c>
      <c r="K60" s="70">
        <v>38</v>
      </c>
      <c r="L60" s="35">
        <f t="shared" si="10"/>
        <v>48.75</v>
      </c>
      <c r="M60" s="33"/>
      <c r="N60" s="36"/>
      <c r="O60" s="15" t="s">
        <v>15</v>
      </c>
      <c r="P60" s="70">
        <v>232</v>
      </c>
      <c r="Q60" s="70">
        <v>268</v>
      </c>
      <c r="R60" s="70">
        <v>232</v>
      </c>
      <c r="S60" s="70">
        <v>226</v>
      </c>
      <c r="T60" s="70">
        <v>268</v>
      </c>
      <c r="U60" s="70">
        <v>310</v>
      </c>
      <c r="V60" s="70">
        <v>304</v>
      </c>
      <c r="W60" s="70">
        <v>240</v>
      </c>
      <c r="X60" s="35">
        <f t="shared" si="9"/>
        <v>260</v>
      </c>
    </row>
    <row r="61" spans="1:24" s="79" customFormat="1" x14ac:dyDescent="0.25">
      <c r="B61" s="36"/>
      <c r="C61" s="15" t="s">
        <v>19</v>
      </c>
      <c r="D61" s="70">
        <v>76</v>
      </c>
      <c r="E61" s="70">
        <v>76</v>
      </c>
      <c r="F61" s="70">
        <v>32</v>
      </c>
      <c r="G61" s="70">
        <v>56</v>
      </c>
      <c r="H61" s="70">
        <v>74</v>
      </c>
      <c r="I61" s="70">
        <v>34</v>
      </c>
      <c r="J61" s="70">
        <v>40</v>
      </c>
      <c r="K61" s="70">
        <v>74</v>
      </c>
      <c r="L61" s="35">
        <f t="shared" si="10"/>
        <v>57.75</v>
      </c>
      <c r="M61" s="33"/>
      <c r="N61" s="36"/>
      <c r="O61" s="15" t="s">
        <v>19</v>
      </c>
      <c r="P61" s="70">
        <v>380</v>
      </c>
      <c r="Q61" s="70">
        <v>280</v>
      </c>
      <c r="R61" s="70">
        <v>340</v>
      </c>
      <c r="S61" s="70">
        <v>264</v>
      </c>
      <c r="T61" s="70">
        <v>400</v>
      </c>
      <c r="U61" s="70">
        <v>460</v>
      </c>
      <c r="V61" s="70">
        <v>312</v>
      </c>
      <c r="W61" s="70">
        <v>400</v>
      </c>
      <c r="X61" s="35">
        <f t="shared" si="9"/>
        <v>354.5</v>
      </c>
    </row>
    <row r="62" spans="1:24" s="79" customFormat="1" x14ac:dyDescent="0.25">
      <c r="B62" s="36"/>
      <c r="C62" s="15" t="s">
        <v>21</v>
      </c>
      <c r="D62" s="70">
        <v>56</v>
      </c>
      <c r="E62" s="70">
        <v>90</v>
      </c>
      <c r="F62" s="70">
        <v>56</v>
      </c>
      <c r="G62" s="70">
        <v>48</v>
      </c>
      <c r="H62" s="70">
        <v>98</v>
      </c>
      <c r="I62" s="70">
        <v>46</v>
      </c>
      <c r="J62" s="70">
        <v>90</v>
      </c>
      <c r="K62" s="70">
        <v>54</v>
      </c>
      <c r="L62" s="35">
        <f>AVERAGE(D62:K62)</f>
        <v>67.25</v>
      </c>
      <c r="M62" s="33"/>
      <c r="N62" s="36"/>
      <c r="O62" s="15" t="s">
        <v>21</v>
      </c>
      <c r="P62" s="70">
        <v>284</v>
      </c>
      <c r="Q62" s="70">
        <v>280</v>
      </c>
      <c r="R62" s="70">
        <v>406</v>
      </c>
      <c r="S62" s="70">
        <v>450</v>
      </c>
      <c r="T62" s="70">
        <v>310</v>
      </c>
      <c r="U62" s="70">
        <v>220</v>
      </c>
      <c r="V62" s="70">
        <v>290</v>
      </c>
      <c r="W62" s="70">
        <v>274</v>
      </c>
      <c r="X62" s="35">
        <f t="shared" si="9"/>
        <v>314.25</v>
      </c>
    </row>
    <row r="63" spans="1:24" s="79" customFormat="1" x14ac:dyDescent="0.25">
      <c r="B63" s="36"/>
      <c r="C63" s="16" t="s">
        <v>56</v>
      </c>
      <c r="D63" s="55"/>
      <c r="E63" s="55"/>
      <c r="F63" s="55"/>
      <c r="G63" s="55"/>
      <c r="H63" s="55"/>
      <c r="I63" s="55"/>
      <c r="J63" s="55"/>
      <c r="K63" s="55"/>
      <c r="L63" s="17">
        <f>AVERAGE(L55:L62)</f>
        <v>74.078125</v>
      </c>
      <c r="M63" s="21"/>
      <c r="N63" s="36"/>
      <c r="O63" s="16" t="s">
        <v>56</v>
      </c>
      <c r="P63" s="55"/>
      <c r="Q63" s="55"/>
      <c r="R63" s="55"/>
      <c r="S63" s="55"/>
      <c r="T63" s="55"/>
      <c r="U63" s="55"/>
      <c r="V63" s="55"/>
      <c r="W63" s="55"/>
      <c r="X63" s="17">
        <f>AVERAGE(X55:X62)</f>
        <v>345.53125</v>
      </c>
    </row>
    <row r="64" spans="1:24" s="79" customFormat="1" x14ac:dyDescent="0.25">
      <c r="B64" s="36"/>
      <c r="C64" s="16" t="s">
        <v>22</v>
      </c>
      <c r="D64" s="55"/>
      <c r="E64" s="55"/>
      <c r="F64" s="55"/>
      <c r="G64" s="55"/>
      <c r="H64" s="55"/>
      <c r="I64" s="55"/>
      <c r="J64" s="55"/>
      <c r="K64" s="55"/>
      <c r="L64" s="17">
        <f>_xlfn.STDEV.S(L55:L62)</f>
        <v>21.019223503650856</v>
      </c>
      <c r="M64" s="21"/>
      <c r="N64" s="36"/>
      <c r="O64" s="16" t="s">
        <v>22</v>
      </c>
      <c r="P64" s="55"/>
      <c r="Q64" s="55"/>
      <c r="R64" s="55"/>
      <c r="S64" s="55"/>
      <c r="T64" s="55"/>
      <c r="U64" s="55"/>
      <c r="V64" s="55"/>
      <c r="W64" s="55"/>
      <c r="X64" s="17">
        <f>_xlfn.STDEV.S(X55:X62)</f>
        <v>44.354736319006243</v>
      </c>
    </row>
    <row r="65" spans="2:24" x14ac:dyDescent="0.25">
      <c r="B65" s="4" t="s">
        <v>4</v>
      </c>
      <c r="C65" s="5" t="s">
        <v>262</v>
      </c>
      <c r="D65" s="46" t="s">
        <v>143</v>
      </c>
      <c r="E65" s="46" t="s">
        <v>144</v>
      </c>
      <c r="F65" s="46" t="s">
        <v>145</v>
      </c>
      <c r="G65" s="5" t="s">
        <v>146</v>
      </c>
      <c r="H65" s="5" t="s">
        <v>147</v>
      </c>
      <c r="I65" s="5" t="s">
        <v>148</v>
      </c>
      <c r="J65" s="5" t="s">
        <v>149</v>
      </c>
      <c r="K65" s="5" t="s">
        <v>150</v>
      </c>
      <c r="L65" s="6" t="s">
        <v>238</v>
      </c>
      <c r="M65" s="33"/>
      <c r="N65" s="4" t="s">
        <v>25</v>
      </c>
      <c r="O65" s="5" t="s">
        <v>262</v>
      </c>
      <c r="P65" s="46" t="s">
        <v>143</v>
      </c>
      <c r="Q65" s="46" t="s">
        <v>144</v>
      </c>
      <c r="R65" s="46" t="s">
        <v>145</v>
      </c>
      <c r="S65" s="5" t="s">
        <v>146</v>
      </c>
      <c r="T65" s="5" t="s">
        <v>147</v>
      </c>
      <c r="U65" s="5" t="s">
        <v>148</v>
      </c>
      <c r="V65" s="5" t="s">
        <v>149</v>
      </c>
      <c r="W65" s="5" t="s">
        <v>150</v>
      </c>
      <c r="X65" s="6" t="s">
        <v>238</v>
      </c>
    </row>
    <row r="66" spans="2:24" x14ac:dyDescent="0.25">
      <c r="B66" s="43" t="s">
        <v>252</v>
      </c>
      <c r="C66" s="13" t="s">
        <v>5</v>
      </c>
      <c r="D66" s="93">
        <v>89</v>
      </c>
      <c r="E66" s="93">
        <v>60</v>
      </c>
      <c r="F66" s="93">
        <v>69</v>
      </c>
      <c r="G66" s="93">
        <v>50</v>
      </c>
      <c r="H66" s="93">
        <v>79</v>
      </c>
      <c r="I66" s="93">
        <v>72</v>
      </c>
      <c r="J66" s="93">
        <v>72</v>
      </c>
      <c r="K66" s="93">
        <v>79</v>
      </c>
      <c r="L66" s="38">
        <f t="shared" ref="L66:L71" si="11">AVERAGE(D66:K66)</f>
        <v>71.25</v>
      </c>
      <c r="M66" s="33"/>
      <c r="N66" s="43" t="s">
        <v>252</v>
      </c>
      <c r="O66" s="13" t="s">
        <v>5</v>
      </c>
      <c r="P66" s="93">
        <v>408</v>
      </c>
      <c r="Q66" s="93">
        <v>422</v>
      </c>
      <c r="R66" s="93">
        <v>474</v>
      </c>
      <c r="S66" s="93">
        <v>288</v>
      </c>
      <c r="T66" s="93">
        <v>280</v>
      </c>
      <c r="U66" s="93">
        <v>366</v>
      </c>
      <c r="V66" s="93">
        <v>324</v>
      </c>
      <c r="W66" s="93">
        <v>334</v>
      </c>
      <c r="X66" s="38">
        <f t="shared" ref="X66:X71" si="12">AVERAGE(P66:W66)</f>
        <v>362</v>
      </c>
    </row>
    <row r="67" spans="2:24" x14ac:dyDescent="0.25">
      <c r="B67" s="36"/>
      <c r="C67" s="15" t="s">
        <v>6</v>
      </c>
      <c r="D67" s="70">
        <v>44</v>
      </c>
      <c r="E67" s="70">
        <v>59</v>
      </c>
      <c r="F67" s="70">
        <v>47</v>
      </c>
      <c r="G67" s="70">
        <v>32</v>
      </c>
      <c r="H67" s="70">
        <v>46</v>
      </c>
      <c r="I67" s="70">
        <v>50</v>
      </c>
      <c r="J67" s="70">
        <v>61</v>
      </c>
      <c r="K67" s="70">
        <v>63</v>
      </c>
      <c r="L67" s="35">
        <f t="shared" si="11"/>
        <v>50.25</v>
      </c>
      <c r="M67" s="33"/>
      <c r="N67" s="36"/>
      <c r="O67" s="15" t="s">
        <v>6</v>
      </c>
      <c r="P67" s="70">
        <v>97</v>
      </c>
      <c r="Q67" s="70">
        <v>218</v>
      </c>
      <c r="R67" s="70">
        <v>330</v>
      </c>
      <c r="S67" s="70">
        <v>82</v>
      </c>
      <c r="T67" s="70">
        <v>110</v>
      </c>
      <c r="U67" s="70">
        <v>133</v>
      </c>
      <c r="V67" s="70">
        <v>232</v>
      </c>
      <c r="W67" s="70">
        <v>186</v>
      </c>
      <c r="X67" s="35">
        <f t="shared" si="12"/>
        <v>173.5</v>
      </c>
    </row>
    <row r="68" spans="2:24" x14ac:dyDescent="0.25">
      <c r="B68" s="36"/>
      <c r="C68" s="15" t="s">
        <v>7</v>
      </c>
      <c r="D68" s="70">
        <v>51</v>
      </c>
      <c r="E68" s="70">
        <v>24</v>
      </c>
      <c r="F68" s="70">
        <v>28</v>
      </c>
      <c r="G68" s="70">
        <v>63</v>
      </c>
      <c r="H68" s="70">
        <v>55</v>
      </c>
      <c r="I68" s="70">
        <v>37</v>
      </c>
      <c r="J68" s="70">
        <v>81</v>
      </c>
      <c r="K68" s="70">
        <v>75</v>
      </c>
      <c r="L68" s="35">
        <f t="shared" si="11"/>
        <v>51.75</v>
      </c>
      <c r="M68" s="33"/>
      <c r="N68" s="36"/>
      <c r="O68" s="15" t="s">
        <v>7</v>
      </c>
      <c r="P68" s="70">
        <v>62</v>
      </c>
      <c r="Q68" s="70">
        <v>105</v>
      </c>
      <c r="R68" s="70">
        <v>62</v>
      </c>
      <c r="S68" s="70">
        <v>75</v>
      </c>
      <c r="T68" s="70">
        <v>95</v>
      </c>
      <c r="U68" s="70">
        <v>95</v>
      </c>
      <c r="V68" s="70">
        <v>86</v>
      </c>
      <c r="W68" s="70">
        <v>114</v>
      </c>
      <c r="X68" s="35">
        <f t="shared" si="12"/>
        <v>86.75</v>
      </c>
    </row>
    <row r="69" spans="2:24" x14ac:dyDescent="0.25">
      <c r="B69" s="36"/>
      <c r="C69" s="15" t="s">
        <v>8</v>
      </c>
      <c r="D69" s="70">
        <v>52</v>
      </c>
      <c r="E69" s="70">
        <v>74</v>
      </c>
      <c r="F69" s="70">
        <v>50</v>
      </c>
      <c r="G69" s="70">
        <v>44</v>
      </c>
      <c r="H69" s="70">
        <v>30</v>
      </c>
      <c r="I69" s="70">
        <v>70</v>
      </c>
      <c r="J69" s="70">
        <v>63</v>
      </c>
      <c r="K69" s="70">
        <v>51</v>
      </c>
      <c r="L69" s="35">
        <f t="shared" si="11"/>
        <v>54.25</v>
      </c>
      <c r="M69" s="33"/>
      <c r="N69" s="36"/>
      <c r="O69" s="15" t="s">
        <v>8</v>
      </c>
      <c r="P69" s="70">
        <v>302</v>
      </c>
      <c r="Q69" s="70">
        <v>288</v>
      </c>
      <c r="R69" s="70">
        <v>320</v>
      </c>
      <c r="S69" s="70">
        <v>321</v>
      </c>
      <c r="T69" s="70">
        <v>250</v>
      </c>
      <c r="U69" s="70">
        <v>259</v>
      </c>
      <c r="V69" s="70">
        <v>276</v>
      </c>
      <c r="W69" s="70">
        <v>334</v>
      </c>
      <c r="X69" s="35">
        <f t="shared" si="12"/>
        <v>293.75</v>
      </c>
    </row>
    <row r="70" spans="2:24" x14ac:dyDescent="0.25">
      <c r="B70" s="36"/>
      <c r="C70" s="15" t="s">
        <v>14</v>
      </c>
      <c r="D70" s="70">
        <v>60</v>
      </c>
      <c r="E70" s="70">
        <v>43</v>
      </c>
      <c r="F70" s="70">
        <v>56</v>
      </c>
      <c r="G70" s="70">
        <v>47</v>
      </c>
      <c r="H70" s="70">
        <v>90</v>
      </c>
      <c r="I70" s="70">
        <v>56</v>
      </c>
      <c r="J70" s="70">
        <v>55</v>
      </c>
      <c r="K70" s="70">
        <v>24</v>
      </c>
      <c r="L70" s="35">
        <f t="shared" si="11"/>
        <v>53.875</v>
      </c>
      <c r="M70" s="33"/>
      <c r="N70" s="36"/>
      <c r="O70" s="15" t="s">
        <v>14</v>
      </c>
      <c r="P70" s="70">
        <v>100</v>
      </c>
      <c r="Q70" s="70">
        <v>150</v>
      </c>
      <c r="R70" s="70">
        <v>104</v>
      </c>
      <c r="S70" s="70">
        <v>72</v>
      </c>
      <c r="T70" s="70">
        <v>89</v>
      </c>
      <c r="U70" s="70">
        <v>60</v>
      </c>
      <c r="V70" s="70">
        <v>151</v>
      </c>
      <c r="W70" s="70">
        <v>132</v>
      </c>
      <c r="X70" s="35">
        <f t="shared" si="12"/>
        <v>107.25</v>
      </c>
    </row>
    <row r="71" spans="2:24" x14ac:dyDescent="0.25">
      <c r="B71" s="36"/>
      <c r="C71" s="15" t="s">
        <v>15</v>
      </c>
      <c r="D71" s="70">
        <v>87</v>
      </c>
      <c r="E71" s="70">
        <v>67</v>
      </c>
      <c r="F71" s="70">
        <v>80</v>
      </c>
      <c r="G71" s="70">
        <v>45</v>
      </c>
      <c r="H71" s="70">
        <v>42</v>
      </c>
      <c r="I71" s="70">
        <v>32</v>
      </c>
      <c r="J71" s="70">
        <v>64</v>
      </c>
      <c r="K71" s="70">
        <v>63</v>
      </c>
      <c r="L71" s="35">
        <f t="shared" si="11"/>
        <v>60</v>
      </c>
      <c r="M71" s="33"/>
      <c r="N71" s="36"/>
      <c r="O71" s="15" t="s">
        <v>15</v>
      </c>
      <c r="P71" s="70">
        <v>124</v>
      </c>
      <c r="Q71" s="70">
        <v>80</v>
      </c>
      <c r="R71" s="70">
        <v>142</v>
      </c>
      <c r="S71" s="70">
        <v>102</v>
      </c>
      <c r="T71" s="70">
        <v>180</v>
      </c>
      <c r="U71" s="70">
        <v>68</v>
      </c>
      <c r="V71" s="70">
        <v>102</v>
      </c>
      <c r="W71" s="70">
        <v>114</v>
      </c>
      <c r="X71" s="35">
        <f t="shared" si="12"/>
        <v>114</v>
      </c>
    </row>
    <row r="72" spans="2:24" x14ac:dyDescent="0.25">
      <c r="B72" s="36"/>
      <c r="C72" s="16" t="s">
        <v>56</v>
      </c>
      <c r="D72" s="55"/>
      <c r="E72" s="55"/>
      <c r="F72" s="55"/>
      <c r="G72" s="55"/>
      <c r="H72" s="55"/>
      <c r="I72" s="55"/>
      <c r="J72" s="55"/>
      <c r="K72" s="55"/>
      <c r="L72" s="17">
        <f>AVERAGE(L66:L71)</f>
        <v>56.895833333333336</v>
      </c>
      <c r="M72" s="21"/>
      <c r="N72" s="36"/>
      <c r="O72" s="16" t="s">
        <v>56</v>
      </c>
      <c r="P72" s="55"/>
      <c r="Q72" s="55"/>
      <c r="R72" s="55"/>
      <c r="S72" s="55"/>
      <c r="T72" s="55"/>
      <c r="U72" s="55"/>
      <c r="V72" s="55"/>
      <c r="W72" s="55"/>
      <c r="X72" s="17">
        <f>AVERAGE(X66:X71)</f>
        <v>189.54166666666666</v>
      </c>
    </row>
    <row r="73" spans="2:24" x14ac:dyDescent="0.25">
      <c r="B73" s="169"/>
      <c r="C73" s="19" t="s">
        <v>22</v>
      </c>
      <c r="D73" s="56"/>
      <c r="E73" s="56"/>
      <c r="F73" s="56"/>
      <c r="G73" s="56"/>
      <c r="H73" s="56"/>
      <c r="I73" s="56"/>
      <c r="J73" s="56"/>
      <c r="K73" s="56"/>
      <c r="L73" s="20">
        <f>_xlfn.STDEV.S(L66:L71)</f>
        <v>7.777538438777813</v>
      </c>
      <c r="M73" s="21"/>
      <c r="N73" s="169"/>
      <c r="O73" s="19" t="s">
        <v>22</v>
      </c>
      <c r="P73" s="56"/>
      <c r="Q73" s="56"/>
      <c r="R73" s="56"/>
      <c r="S73" s="56"/>
      <c r="T73" s="56"/>
      <c r="U73" s="56"/>
      <c r="V73" s="56"/>
      <c r="W73" s="56"/>
      <c r="X73" s="20">
        <f>_xlfn.STDEV.S(X66:X71)</f>
        <v>113.05147242148891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AP148"/>
  <sheetViews>
    <sheetView zoomScale="60" zoomScaleNormal="60" workbookViewId="0"/>
  </sheetViews>
  <sheetFormatPr defaultRowHeight="15" x14ac:dyDescent="0.25"/>
  <cols>
    <col min="1" max="1" width="2.85546875" customWidth="1"/>
    <col min="2" max="2" width="23.7109375" bestFit="1" customWidth="1"/>
    <col min="3" max="3" width="21.5703125" bestFit="1" customWidth="1"/>
    <col min="4" max="4" width="9.85546875" bestFit="1" customWidth="1"/>
    <col min="5" max="5" width="15.42578125" customWidth="1"/>
    <col min="6" max="6" width="20.140625" customWidth="1"/>
    <col min="7" max="7" width="11.28515625" customWidth="1"/>
    <col min="8" max="9" width="10.42578125" bestFit="1" customWidth="1"/>
    <col min="10" max="10" width="14.85546875" bestFit="1" customWidth="1"/>
    <col min="11" max="11" width="13.140625" bestFit="1" customWidth="1"/>
    <col min="12" max="12" width="9.5703125" bestFit="1" customWidth="1"/>
    <col min="13" max="13" width="23.85546875" bestFit="1" customWidth="1"/>
    <col min="14" max="14" width="24.28515625" bestFit="1" customWidth="1"/>
    <col min="15" max="15" width="4.7109375" customWidth="1"/>
    <col min="16" max="16" width="23.85546875" bestFit="1" customWidth="1"/>
    <col min="17" max="17" width="19.140625" bestFit="1" customWidth="1"/>
    <col min="18" max="18" width="9.85546875" bestFit="1" customWidth="1"/>
    <col min="19" max="19" width="14" bestFit="1" customWidth="1"/>
    <col min="20" max="20" width="15.5703125" bestFit="1" customWidth="1"/>
    <col min="21" max="23" width="10.42578125" bestFit="1" customWidth="1"/>
    <col min="24" max="24" width="14.85546875" bestFit="1" customWidth="1"/>
    <col min="25" max="25" width="13.140625" bestFit="1" customWidth="1"/>
    <col min="26" max="26" width="9.5703125" bestFit="1" customWidth="1"/>
    <col min="27" max="27" width="23.85546875" bestFit="1" customWidth="1"/>
    <col min="28" max="28" width="24.28515625" bestFit="1" customWidth="1"/>
    <col min="30" max="30" width="22.28515625" customWidth="1"/>
    <col min="33" max="33" width="4" customWidth="1"/>
    <col min="62" max="62" width="13.140625" customWidth="1"/>
    <col min="63" max="63" width="11.7109375" customWidth="1"/>
    <col min="64" max="64" width="12" customWidth="1"/>
    <col min="65" max="65" width="12.28515625" customWidth="1"/>
    <col min="66" max="66" width="13.42578125" customWidth="1"/>
    <col min="67" max="67" width="13.140625" customWidth="1"/>
    <col min="68" max="69" width="13" customWidth="1"/>
    <col min="74" max="74" width="13.5703125" customWidth="1"/>
    <col min="75" max="75" width="12.85546875" customWidth="1"/>
    <col min="76" max="76" width="12" customWidth="1"/>
    <col min="77" max="77" width="13.42578125" customWidth="1"/>
    <col min="78" max="78" width="11.42578125" customWidth="1"/>
    <col min="79" max="79" width="11.85546875" customWidth="1"/>
    <col min="80" max="80" width="12.5703125" customWidth="1"/>
    <col min="81" max="81" width="12.42578125" customWidth="1"/>
    <col min="318" max="318" width="13.140625" customWidth="1"/>
    <col min="319" max="319" width="11.7109375" customWidth="1"/>
    <col min="320" max="320" width="12" customWidth="1"/>
    <col min="321" max="321" width="12.28515625" customWidth="1"/>
    <col min="322" max="322" width="13.42578125" customWidth="1"/>
    <col min="323" max="323" width="13.140625" customWidth="1"/>
    <col min="324" max="325" width="13" customWidth="1"/>
    <col min="330" max="330" width="13.5703125" customWidth="1"/>
    <col min="331" max="331" width="12.85546875" customWidth="1"/>
    <col min="332" max="332" width="12" customWidth="1"/>
    <col min="333" max="333" width="13.42578125" customWidth="1"/>
    <col min="334" max="334" width="11.42578125" customWidth="1"/>
    <col min="335" max="335" width="11.85546875" customWidth="1"/>
    <col min="336" max="336" width="12.5703125" customWidth="1"/>
    <col min="337" max="337" width="12.42578125" customWidth="1"/>
    <col min="574" max="574" width="13.140625" customWidth="1"/>
    <col min="575" max="575" width="11.7109375" customWidth="1"/>
    <col min="576" max="576" width="12" customWidth="1"/>
    <col min="577" max="577" width="12.28515625" customWidth="1"/>
    <col min="578" max="578" width="13.42578125" customWidth="1"/>
    <col min="579" max="579" width="13.140625" customWidth="1"/>
    <col min="580" max="581" width="13" customWidth="1"/>
    <col min="586" max="586" width="13.5703125" customWidth="1"/>
    <col min="587" max="587" width="12.85546875" customWidth="1"/>
    <col min="588" max="588" width="12" customWidth="1"/>
    <col min="589" max="589" width="13.42578125" customWidth="1"/>
    <col min="590" max="590" width="11.42578125" customWidth="1"/>
    <col min="591" max="591" width="11.85546875" customWidth="1"/>
    <col min="592" max="592" width="12.5703125" customWidth="1"/>
    <col min="593" max="593" width="12.42578125" customWidth="1"/>
    <col min="830" max="830" width="13.140625" customWidth="1"/>
    <col min="831" max="831" width="11.7109375" customWidth="1"/>
    <col min="832" max="832" width="12" customWidth="1"/>
    <col min="833" max="833" width="12.28515625" customWidth="1"/>
    <col min="834" max="834" width="13.42578125" customWidth="1"/>
    <col min="835" max="835" width="13.140625" customWidth="1"/>
    <col min="836" max="837" width="13" customWidth="1"/>
    <col min="842" max="842" width="13.5703125" customWidth="1"/>
    <col min="843" max="843" width="12.85546875" customWidth="1"/>
    <col min="844" max="844" width="12" customWidth="1"/>
    <col min="845" max="845" width="13.42578125" customWidth="1"/>
    <col min="846" max="846" width="11.42578125" customWidth="1"/>
    <col min="847" max="847" width="11.85546875" customWidth="1"/>
    <col min="848" max="848" width="12.5703125" customWidth="1"/>
    <col min="849" max="849" width="12.42578125" customWidth="1"/>
    <col min="1086" max="1086" width="13.140625" customWidth="1"/>
    <col min="1087" max="1087" width="11.7109375" customWidth="1"/>
    <col min="1088" max="1088" width="12" customWidth="1"/>
    <col min="1089" max="1089" width="12.28515625" customWidth="1"/>
    <col min="1090" max="1090" width="13.42578125" customWidth="1"/>
    <col min="1091" max="1091" width="13.140625" customWidth="1"/>
    <col min="1092" max="1093" width="13" customWidth="1"/>
    <col min="1098" max="1098" width="13.5703125" customWidth="1"/>
    <col min="1099" max="1099" width="12.85546875" customWidth="1"/>
    <col min="1100" max="1100" width="12" customWidth="1"/>
    <col min="1101" max="1101" width="13.42578125" customWidth="1"/>
    <col min="1102" max="1102" width="11.42578125" customWidth="1"/>
    <col min="1103" max="1103" width="11.85546875" customWidth="1"/>
    <col min="1104" max="1104" width="12.5703125" customWidth="1"/>
    <col min="1105" max="1105" width="12.42578125" customWidth="1"/>
    <col min="1342" max="1342" width="13.140625" customWidth="1"/>
    <col min="1343" max="1343" width="11.7109375" customWidth="1"/>
    <col min="1344" max="1344" width="12" customWidth="1"/>
    <col min="1345" max="1345" width="12.28515625" customWidth="1"/>
    <col min="1346" max="1346" width="13.42578125" customWidth="1"/>
    <col min="1347" max="1347" width="13.140625" customWidth="1"/>
    <col min="1348" max="1349" width="13" customWidth="1"/>
    <col min="1354" max="1354" width="13.5703125" customWidth="1"/>
    <col min="1355" max="1355" width="12.85546875" customWidth="1"/>
    <col min="1356" max="1356" width="12" customWidth="1"/>
    <col min="1357" max="1357" width="13.42578125" customWidth="1"/>
    <col min="1358" max="1358" width="11.42578125" customWidth="1"/>
    <col min="1359" max="1359" width="11.85546875" customWidth="1"/>
    <col min="1360" max="1360" width="12.5703125" customWidth="1"/>
    <col min="1361" max="1361" width="12.42578125" customWidth="1"/>
    <col min="1598" max="1598" width="13.140625" customWidth="1"/>
    <col min="1599" max="1599" width="11.7109375" customWidth="1"/>
    <col min="1600" max="1600" width="12" customWidth="1"/>
    <col min="1601" max="1601" width="12.28515625" customWidth="1"/>
    <col min="1602" max="1602" width="13.42578125" customWidth="1"/>
    <col min="1603" max="1603" width="13.140625" customWidth="1"/>
    <col min="1604" max="1605" width="13" customWidth="1"/>
    <col min="1610" max="1610" width="13.5703125" customWidth="1"/>
    <col min="1611" max="1611" width="12.85546875" customWidth="1"/>
    <col min="1612" max="1612" width="12" customWidth="1"/>
    <col min="1613" max="1613" width="13.42578125" customWidth="1"/>
    <col min="1614" max="1614" width="11.42578125" customWidth="1"/>
    <col min="1615" max="1615" width="11.85546875" customWidth="1"/>
    <col min="1616" max="1616" width="12.5703125" customWidth="1"/>
    <col min="1617" max="1617" width="12.42578125" customWidth="1"/>
    <col min="1854" max="1854" width="13.140625" customWidth="1"/>
    <col min="1855" max="1855" width="11.7109375" customWidth="1"/>
    <col min="1856" max="1856" width="12" customWidth="1"/>
    <col min="1857" max="1857" width="12.28515625" customWidth="1"/>
    <col min="1858" max="1858" width="13.42578125" customWidth="1"/>
    <col min="1859" max="1859" width="13.140625" customWidth="1"/>
    <col min="1860" max="1861" width="13" customWidth="1"/>
    <col min="1866" max="1866" width="13.5703125" customWidth="1"/>
    <col min="1867" max="1867" width="12.85546875" customWidth="1"/>
    <col min="1868" max="1868" width="12" customWidth="1"/>
    <col min="1869" max="1869" width="13.42578125" customWidth="1"/>
    <col min="1870" max="1870" width="11.42578125" customWidth="1"/>
    <col min="1871" max="1871" width="11.85546875" customWidth="1"/>
    <col min="1872" max="1872" width="12.5703125" customWidth="1"/>
    <col min="1873" max="1873" width="12.42578125" customWidth="1"/>
    <col min="2110" max="2110" width="13.140625" customWidth="1"/>
    <col min="2111" max="2111" width="11.7109375" customWidth="1"/>
    <col min="2112" max="2112" width="12" customWidth="1"/>
    <col min="2113" max="2113" width="12.28515625" customWidth="1"/>
    <col min="2114" max="2114" width="13.42578125" customWidth="1"/>
    <col min="2115" max="2115" width="13.140625" customWidth="1"/>
    <col min="2116" max="2117" width="13" customWidth="1"/>
    <col min="2122" max="2122" width="13.5703125" customWidth="1"/>
    <col min="2123" max="2123" width="12.85546875" customWidth="1"/>
    <col min="2124" max="2124" width="12" customWidth="1"/>
    <col min="2125" max="2125" width="13.42578125" customWidth="1"/>
    <col min="2126" max="2126" width="11.42578125" customWidth="1"/>
    <col min="2127" max="2127" width="11.85546875" customWidth="1"/>
    <col min="2128" max="2128" width="12.5703125" customWidth="1"/>
    <col min="2129" max="2129" width="12.42578125" customWidth="1"/>
    <col min="2366" max="2366" width="13.140625" customWidth="1"/>
    <col min="2367" max="2367" width="11.7109375" customWidth="1"/>
    <col min="2368" max="2368" width="12" customWidth="1"/>
    <col min="2369" max="2369" width="12.28515625" customWidth="1"/>
    <col min="2370" max="2370" width="13.42578125" customWidth="1"/>
    <col min="2371" max="2371" width="13.140625" customWidth="1"/>
    <col min="2372" max="2373" width="13" customWidth="1"/>
    <col min="2378" max="2378" width="13.5703125" customWidth="1"/>
    <col min="2379" max="2379" width="12.85546875" customWidth="1"/>
    <col min="2380" max="2380" width="12" customWidth="1"/>
    <col min="2381" max="2381" width="13.42578125" customWidth="1"/>
    <col min="2382" max="2382" width="11.42578125" customWidth="1"/>
    <col min="2383" max="2383" width="11.85546875" customWidth="1"/>
    <col min="2384" max="2384" width="12.5703125" customWidth="1"/>
    <col min="2385" max="2385" width="12.42578125" customWidth="1"/>
    <col min="2622" max="2622" width="13.140625" customWidth="1"/>
    <col min="2623" max="2623" width="11.7109375" customWidth="1"/>
    <col min="2624" max="2624" width="12" customWidth="1"/>
    <col min="2625" max="2625" width="12.28515625" customWidth="1"/>
    <col min="2626" max="2626" width="13.42578125" customWidth="1"/>
    <col min="2627" max="2627" width="13.140625" customWidth="1"/>
    <col min="2628" max="2629" width="13" customWidth="1"/>
    <col min="2634" max="2634" width="13.5703125" customWidth="1"/>
    <col min="2635" max="2635" width="12.85546875" customWidth="1"/>
    <col min="2636" max="2636" width="12" customWidth="1"/>
    <col min="2637" max="2637" width="13.42578125" customWidth="1"/>
    <col min="2638" max="2638" width="11.42578125" customWidth="1"/>
    <col min="2639" max="2639" width="11.85546875" customWidth="1"/>
    <col min="2640" max="2640" width="12.5703125" customWidth="1"/>
    <col min="2641" max="2641" width="12.42578125" customWidth="1"/>
    <col min="2878" max="2878" width="13.140625" customWidth="1"/>
    <col min="2879" max="2879" width="11.7109375" customWidth="1"/>
    <col min="2880" max="2880" width="12" customWidth="1"/>
    <col min="2881" max="2881" width="12.28515625" customWidth="1"/>
    <col min="2882" max="2882" width="13.42578125" customWidth="1"/>
    <col min="2883" max="2883" width="13.140625" customWidth="1"/>
    <col min="2884" max="2885" width="13" customWidth="1"/>
    <col min="2890" max="2890" width="13.5703125" customWidth="1"/>
    <col min="2891" max="2891" width="12.85546875" customWidth="1"/>
    <col min="2892" max="2892" width="12" customWidth="1"/>
    <col min="2893" max="2893" width="13.42578125" customWidth="1"/>
    <col min="2894" max="2894" width="11.42578125" customWidth="1"/>
    <col min="2895" max="2895" width="11.85546875" customWidth="1"/>
    <col min="2896" max="2896" width="12.5703125" customWidth="1"/>
    <col min="2897" max="2897" width="12.42578125" customWidth="1"/>
    <col min="3134" max="3134" width="13.140625" customWidth="1"/>
    <col min="3135" max="3135" width="11.7109375" customWidth="1"/>
    <col min="3136" max="3136" width="12" customWidth="1"/>
    <col min="3137" max="3137" width="12.28515625" customWidth="1"/>
    <col min="3138" max="3138" width="13.42578125" customWidth="1"/>
    <col min="3139" max="3139" width="13.140625" customWidth="1"/>
    <col min="3140" max="3141" width="13" customWidth="1"/>
    <col min="3146" max="3146" width="13.5703125" customWidth="1"/>
    <col min="3147" max="3147" width="12.85546875" customWidth="1"/>
    <col min="3148" max="3148" width="12" customWidth="1"/>
    <col min="3149" max="3149" width="13.42578125" customWidth="1"/>
    <col min="3150" max="3150" width="11.42578125" customWidth="1"/>
    <col min="3151" max="3151" width="11.85546875" customWidth="1"/>
    <col min="3152" max="3152" width="12.5703125" customWidth="1"/>
    <col min="3153" max="3153" width="12.42578125" customWidth="1"/>
    <col min="3390" max="3390" width="13.140625" customWidth="1"/>
    <col min="3391" max="3391" width="11.7109375" customWidth="1"/>
    <col min="3392" max="3392" width="12" customWidth="1"/>
    <col min="3393" max="3393" width="12.28515625" customWidth="1"/>
    <col min="3394" max="3394" width="13.42578125" customWidth="1"/>
    <col min="3395" max="3395" width="13.140625" customWidth="1"/>
    <col min="3396" max="3397" width="13" customWidth="1"/>
    <col min="3402" max="3402" width="13.5703125" customWidth="1"/>
    <col min="3403" max="3403" width="12.85546875" customWidth="1"/>
    <col min="3404" max="3404" width="12" customWidth="1"/>
    <col min="3405" max="3405" width="13.42578125" customWidth="1"/>
    <col min="3406" max="3406" width="11.42578125" customWidth="1"/>
    <col min="3407" max="3407" width="11.85546875" customWidth="1"/>
    <col min="3408" max="3408" width="12.5703125" customWidth="1"/>
    <col min="3409" max="3409" width="12.42578125" customWidth="1"/>
    <col min="3646" max="3646" width="13.140625" customWidth="1"/>
    <col min="3647" max="3647" width="11.7109375" customWidth="1"/>
    <col min="3648" max="3648" width="12" customWidth="1"/>
    <col min="3649" max="3649" width="12.28515625" customWidth="1"/>
    <col min="3650" max="3650" width="13.42578125" customWidth="1"/>
    <col min="3651" max="3651" width="13.140625" customWidth="1"/>
    <col min="3652" max="3653" width="13" customWidth="1"/>
    <col min="3658" max="3658" width="13.5703125" customWidth="1"/>
    <col min="3659" max="3659" width="12.85546875" customWidth="1"/>
    <col min="3660" max="3660" width="12" customWidth="1"/>
    <col min="3661" max="3661" width="13.42578125" customWidth="1"/>
    <col min="3662" max="3662" width="11.42578125" customWidth="1"/>
    <col min="3663" max="3663" width="11.85546875" customWidth="1"/>
    <col min="3664" max="3664" width="12.5703125" customWidth="1"/>
    <col min="3665" max="3665" width="12.42578125" customWidth="1"/>
    <col min="3902" max="3902" width="13.140625" customWidth="1"/>
    <col min="3903" max="3903" width="11.7109375" customWidth="1"/>
    <col min="3904" max="3904" width="12" customWidth="1"/>
    <col min="3905" max="3905" width="12.28515625" customWidth="1"/>
    <col min="3906" max="3906" width="13.42578125" customWidth="1"/>
    <col min="3907" max="3907" width="13.140625" customWidth="1"/>
    <col min="3908" max="3909" width="13" customWidth="1"/>
    <col min="3914" max="3914" width="13.5703125" customWidth="1"/>
    <col min="3915" max="3915" width="12.85546875" customWidth="1"/>
    <col min="3916" max="3916" width="12" customWidth="1"/>
    <col min="3917" max="3917" width="13.42578125" customWidth="1"/>
    <col min="3918" max="3918" width="11.42578125" customWidth="1"/>
    <col min="3919" max="3919" width="11.85546875" customWidth="1"/>
    <col min="3920" max="3920" width="12.5703125" customWidth="1"/>
    <col min="3921" max="3921" width="12.42578125" customWidth="1"/>
    <col min="4158" max="4158" width="13.140625" customWidth="1"/>
    <col min="4159" max="4159" width="11.7109375" customWidth="1"/>
    <col min="4160" max="4160" width="12" customWidth="1"/>
    <col min="4161" max="4161" width="12.28515625" customWidth="1"/>
    <col min="4162" max="4162" width="13.42578125" customWidth="1"/>
    <col min="4163" max="4163" width="13.140625" customWidth="1"/>
    <col min="4164" max="4165" width="13" customWidth="1"/>
    <col min="4170" max="4170" width="13.5703125" customWidth="1"/>
    <col min="4171" max="4171" width="12.85546875" customWidth="1"/>
    <col min="4172" max="4172" width="12" customWidth="1"/>
    <col min="4173" max="4173" width="13.42578125" customWidth="1"/>
    <col min="4174" max="4174" width="11.42578125" customWidth="1"/>
    <col min="4175" max="4175" width="11.85546875" customWidth="1"/>
    <col min="4176" max="4176" width="12.5703125" customWidth="1"/>
    <col min="4177" max="4177" width="12.42578125" customWidth="1"/>
    <col min="4414" max="4414" width="13.140625" customWidth="1"/>
    <col min="4415" max="4415" width="11.7109375" customWidth="1"/>
    <col min="4416" max="4416" width="12" customWidth="1"/>
    <col min="4417" max="4417" width="12.28515625" customWidth="1"/>
    <col min="4418" max="4418" width="13.42578125" customWidth="1"/>
    <col min="4419" max="4419" width="13.140625" customWidth="1"/>
    <col min="4420" max="4421" width="13" customWidth="1"/>
    <col min="4426" max="4426" width="13.5703125" customWidth="1"/>
    <col min="4427" max="4427" width="12.85546875" customWidth="1"/>
    <col min="4428" max="4428" width="12" customWidth="1"/>
    <col min="4429" max="4429" width="13.42578125" customWidth="1"/>
    <col min="4430" max="4430" width="11.42578125" customWidth="1"/>
    <col min="4431" max="4431" width="11.85546875" customWidth="1"/>
    <col min="4432" max="4432" width="12.5703125" customWidth="1"/>
    <col min="4433" max="4433" width="12.42578125" customWidth="1"/>
    <col min="4670" max="4670" width="13.140625" customWidth="1"/>
    <col min="4671" max="4671" width="11.7109375" customWidth="1"/>
    <col min="4672" max="4672" width="12" customWidth="1"/>
    <col min="4673" max="4673" width="12.28515625" customWidth="1"/>
    <col min="4674" max="4674" width="13.42578125" customWidth="1"/>
    <col min="4675" max="4675" width="13.140625" customWidth="1"/>
    <col min="4676" max="4677" width="13" customWidth="1"/>
    <col min="4682" max="4682" width="13.5703125" customWidth="1"/>
    <col min="4683" max="4683" width="12.85546875" customWidth="1"/>
    <col min="4684" max="4684" width="12" customWidth="1"/>
    <col min="4685" max="4685" width="13.42578125" customWidth="1"/>
    <col min="4686" max="4686" width="11.42578125" customWidth="1"/>
    <col min="4687" max="4687" width="11.85546875" customWidth="1"/>
    <col min="4688" max="4688" width="12.5703125" customWidth="1"/>
    <col min="4689" max="4689" width="12.42578125" customWidth="1"/>
    <col min="4926" max="4926" width="13.140625" customWidth="1"/>
    <col min="4927" max="4927" width="11.7109375" customWidth="1"/>
    <col min="4928" max="4928" width="12" customWidth="1"/>
    <col min="4929" max="4929" width="12.28515625" customWidth="1"/>
    <col min="4930" max="4930" width="13.42578125" customWidth="1"/>
    <col min="4931" max="4931" width="13.140625" customWidth="1"/>
    <col min="4932" max="4933" width="13" customWidth="1"/>
    <col min="4938" max="4938" width="13.5703125" customWidth="1"/>
    <col min="4939" max="4939" width="12.85546875" customWidth="1"/>
    <col min="4940" max="4940" width="12" customWidth="1"/>
    <col min="4941" max="4941" width="13.42578125" customWidth="1"/>
    <col min="4942" max="4942" width="11.42578125" customWidth="1"/>
    <col min="4943" max="4943" width="11.85546875" customWidth="1"/>
    <col min="4944" max="4944" width="12.5703125" customWidth="1"/>
    <col min="4945" max="4945" width="12.42578125" customWidth="1"/>
    <col min="5182" max="5182" width="13.140625" customWidth="1"/>
    <col min="5183" max="5183" width="11.7109375" customWidth="1"/>
    <col min="5184" max="5184" width="12" customWidth="1"/>
    <col min="5185" max="5185" width="12.28515625" customWidth="1"/>
    <col min="5186" max="5186" width="13.42578125" customWidth="1"/>
    <col min="5187" max="5187" width="13.140625" customWidth="1"/>
    <col min="5188" max="5189" width="13" customWidth="1"/>
    <col min="5194" max="5194" width="13.5703125" customWidth="1"/>
    <col min="5195" max="5195" width="12.85546875" customWidth="1"/>
    <col min="5196" max="5196" width="12" customWidth="1"/>
    <col min="5197" max="5197" width="13.42578125" customWidth="1"/>
    <col min="5198" max="5198" width="11.42578125" customWidth="1"/>
    <col min="5199" max="5199" width="11.85546875" customWidth="1"/>
    <col min="5200" max="5200" width="12.5703125" customWidth="1"/>
    <col min="5201" max="5201" width="12.42578125" customWidth="1"/>
    <col min="5438" max="5438" width="13.140625" customWidth="1"/>
    <col min="5439" max="5439" width="11.7109375" customWidth="1"/>
    <col min="5440" max="5440" width="12" customWidth="1"/>
    <col min="5441" max="5441" width="12.28515625" customWidth="1"/>
    <col min="5442" max="5442" width="13.42578125" customWidth="1"/>
    <col min="5443" max="5443" width="13.140625" customWidth="1"/>
    <col min="5444" max="5445" width="13" customWidth="1"/>
    <col min="5450" max="5450" width="13.5703125" customWidth="1"/>
    <col min="5451" max="5451" width="12.85546875" customWidth="1"/>
    <col min="5452" max="5452" width="12" customWidth="1"/>
    <col min="5453" max="5453" width="13.42578125" customWidth="1"/>
    <col min="5454" max="5454" width="11.42578125" customWidth="1"/>
    <col min="5455" max="5455" width="11.85546875" customWidth="1"/>
    <col min="5456" max="5456" width="12.5703125" customWidth="1"/>
    <col min="5457" max="5457" width="12.42578125" customWidth="1"/>
    <col min="5694" max="5694" width="13.140625" customWidth="1"/>
    <col min="5695" max="5695" width="11.7109375" customWidth="1"/>
    <col min="5696" max="5696" width="12" customWidth="1"/>
    <col min="5697" max="5697" width="12.28515625" customWidth="1"/>
    <col min="5698" max="5698" width="13.42578125" customWidth="1"/>
    <col min="5699" max="5699" width="13.140625" customWidth="1"/>
    <col min="5700" max="5701" width="13" customWidth="1"/>
    <col min="5706" max="5706" width="13.5703125" customWidth="1"/>
    <col min="5707" max="5707" width="12.85546875" customWidth="1"/>
    <col min="5708" max="5708" width="12" customWidth="1"/>
    <col min="5709" max="5709" width="13.42578125" customWidth="1"/>
    <col min="5710" max="5710" width="11.42578125" customWidth="1"/>
    <col min="5711" max="5711" width="11.85546875" customWidth="1"/>
    <col min="5712" max="5712" width="12.5703125" customWidth="1"/>
    <col min="5713" max="5713" width="12.42578125" customWidth="1"/>
    <col min="5950" max="5950" width="13.140625" customWidth="1"/>
    <col min="5951" max="5951" width="11.7109375" customWidth="1"/>
    <col min="5952" max="5952" width="12" customWidth="1"/>
    <col min="5953" max="5953" width="12.28515625" customWidth="1"/>
    <col min="5954" max="5954" width="13.42578125" customWidth="1"/>
    <col min="5955" max="5955" width="13.140625" customWidth="1"/>
    <col min="5956" max="5957" width="13" customWidth="1"/>
    <col min="5962" max="5962" width="13.5703125" customWidth="1"/>
    <col min="5963" max="5963" width="12.85546875" customWidth="1"/>
    <col min="5964" max="5964" width="12" customWidth="1"/>
    <col min="5965" max="5965" width="13.42578125" customWidth="1"/>
    <col min="5966" max="5966" width="11.42578125" customWidth="1"/>
    <col min="5967" max="5967" width="11.85546875" customWidth="1"/>
    <col min="5968" max="5968" width="12.5703125" customWidth="1"/>
    <col min="5969" max="5969" width="12.42578125" customWidth="1"/>
    <col min="6206" max="6206" width="13.140625" customWidth="1"/>
    <col min="6207" max="6207" width="11.7109375" customWidth="1"/>
    <col min="6208" max="6208" width="12" customWidth="1"/>
    <col min="6209" max="6209" width="12.28515625" customWidth="1"/>
    <col min="6210" max="6210" width="13.42578125" customWidth="1"/>
    <col min="6211" max="6211" width="13.140625" customWidth="1"/>
    <col min="6212" max="6213" width="13" customWidth="1"/>
    <col min="6218" max="6218" width="13.5703125" customWidth="1"/>
    <col min="6219" max="6219" width="12.85546875" customWidth="1"/>
    <col min="6220" max="6220" width="12" customWidth="1"/>
    <col min="6221" max="6221" width="13.42578125" customWidth="1"/>
    <col min="6222" max="6222" width="11.42578125" customWidth="1"/>
    <col min="6223" max="6223" width="11.85546875" customWidth="1"/>
    <col min="6224" max="6224" width="12.5703125" customWidth="1"/>
    <col min="6225" max="6225" width="12.42578125" customWidth="1"/>
    <col min="6462" max="6462" width="13.140625" customWidth="1"/>
    <col min="6463" max="6463" width="11.7109375" customWidth="1"/>
    <col min="6464" max="6464" width="12" customWidth="1"/>
    <col min="6465" max="6465" width="12.28515625" customWidth="1"/>
    <col min="6466" max="6466" width="13.42578125" customWidth="1"/>
    <col min="6467" max="6467" width="13.140625" customWidth="1"/>
    <col min="6468" max="6469" width="13" customWidth="1"/>
    <col min="6474" max="6474" width="13.5703125" customWidth="1"/>
    <col min="6475" max="6475" width="12.85546875" customWidth="1"/>
    <col min="6476" max="6476" width="12" customWidth="1"/>
    <col min="6477" max="6477" width="13.42578125" customWidth="1"/>
    <col min="6478" max="6478" width="11.42578125" customWidth="1"/>
    <col min="6479" max="6479" width="11.85546875" customWidth="1"/>
    <col min="6480" max="6480" width="12.5703125" customWidth="1"/>
    <col min="6481" max="6481" width="12.42578125" customWidth="1"/>
    <col min="6718" max="6718" width="13.140625" customWidth="1"/>
    <col min="6719" max="6719" width="11.7109375" customWidth="1"/>
    <col min="6720" max="6720" width="12" customWidth="1"/>
    <col min="6721" max="6721" width="12.28515625" customWidth="1"/>
    <col min="6722" max="6722" width="13.42578125" customWidth="1"/>
    <col min="6723" max="6723" width="13.140625" customWidth="1"/>
    <col min="6724" max="6725" width="13" customWidth="1"/>
    <col min="6730" max="6730" width="13.5703125" customWidth="1"/>
    <col min="6731" max="6731" width="12.85546875" customWidth="1"/>
    <col min="6732" max="6732" width="12" customWidth="1"/>
    <col min="6733" max="6733" width="13.42578125" customWidth="1"/>
    <col min="6734" max="6734" width="11.42578125" customWidth="1"/>
    <col min="6735" max="6735" width="11.85546875" customWidth="1"/>
    <col min="6736" max="6736" width="12.5703125" customWidth="1"/>
    <col min="6737" max="6737" width="12.42578125" customWidth="1"/>
    <col min="6974" max="6974" width="13.140625" customWidth="1"/>
    <col min="6975" max="6975" width="11.7109375" customWidth="1"/>
    <col min="6976" max="6976" width="12" customWidth="1"/>
    <col min="6977" max="6977" width="12.28515625" customWidth="1"/>
    <col min="6978" max="6978" width="13.42578125" customWidth="1"/>
    <col min="6979" max="6979" width="13.140625" customWidth="1"/>
    <col min="6980" max="6981" width="13" customWidth="1"/>
    <col min="6986" max="6986" width="13.5703125" customWidth="1"/>
    <col min="6987" max="6987" width="12.85546875" customWidth="1"/>
    <col min="6988" max="6988" width="12" customWidth="1"/>
    <col min="6989" max="6989" width="13.42578125" customWidth="1"/>
    <col min="6990" max="6990" width="11.42578125" customWidth="1"/>
    <col min="6991" max="6991" width="11.85546875" customWidth="1"/>
    <col min="6992" max="6992" width="12.5703125" customWidth="1"/>
    <col min="6993" max="6993" width="12.42578125" customWidth="1"/>
    <col min="7230" max="7230" width="13.140625" customWidth="1"/>
    <col min="7231" max="7231" width="11.7109375" customWidth="1"/>
    <col min="7232" max="7232" width="12" customWidth="1"/>
    <col min="7233" max="7233" width="12.28515625" customWidth="1"/>
    <col min="7234" max="7234" width="13.42578125" customWidth="1"/>
    <col min="7235" max="7235" width="13.140625" customWidth="1"/>
    <col min="7236" max="7237" width="13" customWidth="1"/>
    <col min="7242" max="7242" width="13.5703125" customWidth="1"/>
    <col min="7243" max="7243" width="12.85546875" customWidth="1"/>
    <col min="7244" max="7244" width="12" customWidth="1"/>
    <col min="7245" max="7245" width="13.42578125" customWidth="1"/>
    <col min="7246" max="7246" width="11.42578125" customWidth="1"/>
    <col min="7247" max="7247" width="11.85546875" customWidth="1"/>
    <col min="7248" max="7248" width="12.5703125" customWidth="1"/>
    <col min="7249" max="7249" width="12.42578125" customWidth="1"/>
    <col min="7486" max="7486" width="13.140625" customWidth="1"/>
    <col min="7487" max="7487" width="11.7109375" customWidth="1"/>
    <col min="7488" max="7488" width="12" customWidth="1"/>
    <col min="7489" max="7489" width="12.28515625" customWidth="1"/>
    <col min="7490" max="7490" width="13.42578125" customWidth="1"/>
    <col min="7491" max="7491" width="13.140625" customWidth="1"/>
    <col min="7492" max="7493" width="13" customWidth="1"/>
    <col min="7498" max="7498" width="13.5703125" customWidth="1"/>
    <col min="7499" max="7499" width="12.85546875" customWidth="1"/>
    <col min="7500" max="7500" width="12" customWidth="1"/>
    <col min="7501" max="7501" width="13.42578125" customWidth="1"/>
    <col min="7502" max="7502" width="11.42578125" customWidth="1"/>
    <col min="7503" max="7503" width="11.85546875" customWidth="1"/>
    <col min="7504" max="7504" width="12.5703125" customWidth="1"/>
    <col min="7505" max="7505" width="12.42578125" customWidth="1"/>
    <col min="7742" max="7742" width="13.140625" customWidth="1"/>
    <col min="7743" max="7743" width="11.7109375" customWidth="1"/>
    <col min="7744" max="7744" width="12" customWidth="1"/>
    <col min="7745" max="7745" width="12.28515625" customWidth="1"/>
    <col min="7746" max="7746" width="13.42578125" customWidth="1"/>
    <col min="7747" max="7747" width="13.140625" customWidth="1"/>
    <col min="7748" max="7749" width="13" customWidth="1"/>
    <col min="7754" max="7754" width="13.5703125" customWidth="1"/>
    <col min="7755" max="7755" width="12.85546875" customWidth="1"/>
    <col min="7756" max="7756" width="12" customWidth="1"/>
    <col min="7757" max="7757" width="13.42578125" customWidth="1"/>
    <col min="7758" max="7758" width="11.42578125" customWidth="1"/>
    <col min="7759" max="7759" width="11.85546875" customWidth="1"/>
    <col min="7760" max="7760" width="12.5703125" customWidth="1"/>
    <col min="7761" max="7761" width="12.42578125" customWidth="1"/>
    <col min="7998" max="7998" width="13.140625" customWidth="1"/>
    <col min="7999" max="7999" width="11.7109375" customWidth="1"/>
    <col min="8000" max="8000" width="12" customWidth="1"/>
    <col min="8001" max="8001" width="12.28515625" customWidth="1"/>
    <col min="8002" max="8002" width="13.42578125" customWidth="1"/>
    <col min="8003" max="8003" width="13.140625" customWidth="1"/>
    <col min="8004" max="8005" width="13" customWidth="1"/>
    <col min="8010" max="8010" width="13.5703125" customWidth="1"/>
    <col min="8011" max="8011" width="12.85546875" customWidth="1"/>
    <col min="8012" max="8012" width="12" customWidth="1"/>
    <col min="8013" max="8013" width="13.42578125" customWidth="1"/>
    <col min="8014" max="8014" width="11.42578125" customWidth="1"/>
    <col min="8015" max="8015" width="11.85546875" customWidth="1"/>
    <col min="8016" max="8016" width="12.5703125" customWidth="1"/>
    <col min="8017" max="8017" width="12.42578125" customWidth="1"/>
    <col min="8254" max="8254" width="13.140625" customWidth="1"/>
    <col min="8255" max="8255" width="11.7109375" customWidth="1"/>
    <col min="8256" max="8256" width="12" customWidth="1"/>
    <col min="8257" max="8257" width="12.28515625" customWidth="1"/>
    <col min="8258" max="8258" width="13.42578125" customWidth="1"/>
    <col min="8259" max="8259" width="13.140625" customWidth="1"/>
    <col min="8260" max="8261" width="13" customWidth="1"/>
    <col min="8266" max="8266" width="13.5703125" customWidth="1"/>
    <col min="8267" max="8267" width="12.85546875" customWidth="1"/>
    <col min="8268" max="8268" width="12" customWidth="1"/>
    <col min="8269" max="8269" width="13.42578125" customWidth="1"/>
    <col min="8270" max="8270" width="11.42578125" customWidth="1"/>
    <col min="8271" max="8271" width="11.85546875" customWidth="1"/>
    <col min="8272" max="8272" width="12.5703125" customWidth="1"/>
    <col min="8273" max="8273" width="12.42578125" customWidth="1"/>
    <col min="8510" max="8510" width="13.140625" customWidth="1"/>
    <col min="8511" max="8511" width="11.7109375" customWidth="1"/>
    <col min="8512" max="8512" width="12" customWidth="1"/>
    <col min="8513" max="8513" width="12.28515625" customWidth="1"/>
    <col min="8514" max="8514" width="13.42578125" customWidth="1"/>
    <col min="8515" max="8515" width="13.140625" customWidth="1"/>
    <col min="8516" max="8517" width="13" customWidth="1"/>
    <col min="8522" max="8522" width="13.5703125" customWidth="1"/>
    <col min="8523" max="8523" width="12.85546875" customWidth="1"/>
    <col min="8524" max="8524" width="12" customWidth="1"/>
    <col min="8525" max="8525" width="13.42578125" customWidth="1"/>
    <col min="8526" max="8526" width="11.42578125" customWidth="1"/>
    <col min="8527" max="8527" width="11.85546875" customWidth="1"/>
    <col min="8528" max="8528" width="12.5703125" customWidth="1"/>
    <col min="8529" max="8529" width="12.42578125" customWidth="1"/>
    <col min="8766" max="8766" width="13.140625" customWidth="1"/>
    <col min="8767" max="8767" width="11.7109375" customWidth="1"/>
    <col min="8768" max="8768" width="12" customWidth="1"/>
    <col min="8769" max="8769" width="12.28515625" customWidth="1"/>
    <col min="8770" max="8770" width="13.42578125" customWidth="1"/>
    <col min="8771" max="8771" width="13.140625" customWidth="1"/>
    <col min="8772" max="8773" width="13" customWidth="1"/>
    <col min="8778" max="8778" width="13.5703125" customWidth="1"/>
    <col min="8779" max="8779" width="12.85546875" customWidth="1"/>
    <col min="8780" max="8780" width="12" customWidth="1"/>
    <col min="8781" max="8781" width="13.42578125" customWidth="1"/>
    <col min="8782" max="8782" width="11.42578125" customWidth="1"/>
    <col min="8783" max="8783" width="11.85546875" customWidth="1"/>
    <col min="8784" max="8784" width="12.5703125" customWidth="1"/>
    <col min="8785" max="8785" width="12.42578125" customWidth="1"/>
    <col min="9022" max="9022" width="13.140625" customWidth="1"/>
    <col min="9023" max="9023" width="11.7109375" customWidth="1"/>
    <col min="9024" max="9024" width="12" customWidth="1"/>
    <col min="9025" max="9025" width="12.28515625" customWidth="1"/>
    <col min="9026" max="9026" width="13.42578125" customWidth="1"/>
    <col min="9027" max="9027" width="13.140625" customWidth="1"/>
    <col min="9028" max="9029" width="13" customWidth="1"/>
    <col min="9034" max="9034" width="13.5703125" customWidth="1"/>
    <col min="9035" max="9035" width="12.85546875" customWidth="1"/>
    <col min="9036" max="9036" width="12" customWidth="1"/>
    <col min="9037" max="9037" width="13.42578125" customWidth="1"/>
    <col min="9038" max="9038" width="11.42578125" customWidth="1"/>
    <col min="9039" max="9039" width="11.85546875" customWidth="1"/>
    <col min="9040" max="9040" width="12.5703125" customWidth="1"/>
    <col min="9041" max="9041" width="12.42578125" customWidth="1"/>
    <col min="9278" max="9278" width="13.140625" customWidth="1"/>
    <col min="9279" max="9279" width="11.7109375" customWidth="1"/>
    <col min="9280" max="9280" width="12" customWidth="1"/>
    <col min="9281" max="9281" width="12.28515625" customWidth="1"/>
    <col min="9282" max="9282" width="13.42578125" customWidth="1"/>
    <col min="9283" max="9283" width="13.140625" customWidth="1"/>
    <col min="9284" max="9285" width="13" customWidth="1"/>
    <col min="9290" max="9290" width="13.5703125" customWidth="1"/>
    <col min="9291" max="9291" width="12.85546875" customWidth="1"/>
    <col min="9292" max="9292" width="12" customWidth="1"/>
    <col min="9293" max="9293" width="13.42578125" customWidth="1"/>
    <col min="9294" max="9294" width="11.42578125" customWidth="1"/>
    <col min="9295" max="9295" width="11.85546875" customWidth="1"/>
    <col min="9296" max="9296" width="12.5703125" customWidth="1"/>
    <col min="9297" max="9297" width="12.42578125" customWidth="1"/>
    <col min="9534" max="9534" width="13.140625" customWidth="1"/>
    <col min="9535" max="9535" width="11.7109375" customWidth="1"/>
    <col min="9536" max="9536" width="12" customWidth="1"/>
    <col min="9537" max="9537" width="12.28515625" customWidth="1"/>
    <col min="9538" max="9538" width="13.42578125" customWidth="1"/>
    <col min="9539" max="9539" width="13.140625" customWidth="1"/>
    <col min="9540" max="9541" width="13" customWidth="1"/>
    <col min="9546" max="9546" width="13.5703125" customWidth="1"/>
    <col min="9547" max="9547" width="12.85546875" customWidth="1"/>
    <col min="9548" max="9548" width="12" customWidth="1"/>
    <col min="9549" max="9549" width="13.42578125" customWidth="1"/>
    <col min="9550" max="9550" width="11.42578125" customWidth="1"/>
    <col min="9551" max="9551" width="11.85546875" customWidth="1"/>
    <col min="9552" max="9552" width="12.5703125" customWidth="1"/>
    <col min="9553" max="9553" width="12.42578125" customWidth="1"/>
    <col min="9790" max="9790" width="13.140625" customWidth="1"/>
    <col min="9791" max="9791" width="11.7109375" customWidth="1"/>
    <col min="9792" max="9792" width="12" customWidth="1"/>
    <col min="9793" max="9793" width="12.28515625" customWidth="1"/>
    <col min="9794" max="9794" width="13.42578125" customWidth="1"/>
    <col min="9795" max="9795" width="13.140625" customWidth="1"/>
    <col min="9796" max="9797" width="13" customWidth="1"/>
    <col min="9802" max="9802" width="13.5703125" customWidth="1"/>
    <col min="9803" max="9803" width="12.85546875" customWidth="1"/>
    <col min="9804" max="9804" width="12" customWidth="1"/>
    <col min="9805" max="9805" width="13.42578125" customWidth="1"/>
    <col min="9806" max="9806" width="11.42578125" customWidth="1"/>
    <col min="9807" max="9807" width="11.85546875" customWidth="1"/>
    <col min="9808" max="9808" width="12.5703125" customWidth="1"/>
    <col min="9809" max="9809" width="12.42578125" customWidth="1"/>
    <col min="10046" max="10046" width="13.140625" customWidth="1"/>
    <col min="10047" max="10047" width="11.7109375" customWidth="1"/>
    <col min="10048" max="10048" width="12" customWidth="1"/>
    <col min="10049" max="10049" width="12.28515625" customWidth="1"/>
    <col min="10050" max="10050" width="13.42578125" customWidth="1"/>
    <col min="10051" max="10051" width="13.140625" customWidth="1"/>
    <col min="10052" max="10053" width="13" customWidth="1"/>
    <col min="10058" max="10058" width="13.5703125" customWidth="1"/>
    <col min="10059" max="10059" width="12.85546875" customWidth="1"/>
    <col min="10060" max="10060" width="12" customWidth="1"/>
    <col min="10061" max="10061" width="13.42578125" customWidth="1"/>
    <col min="10062" max="10062" width="11.42578125" customWidth="1"/>
    <col min="10063" max="10063" width="11.85546875" customWidth="1"/>
    <col min="10064" max="10064" width="12.5703125" customWidth="1"/>
    <col min="10065" max="10065" width="12.42578125" customWidth="1"/>
    <col min="10302" max="10302" width="13.140625" customWidth="1"/>
    <col min="10303" max="10303" width="11.7109375" customWidth="1"/>
    <col min="10304" max="10304" width="12" customWidth="1"/>
    <col min="10305" max="10305" width="12.28515625" customWidth="1"/>
    <col min="10306" max="10306" width="13.42578125" customWidth="1"/>
    <col min="10307" max="10307" width="13.140625" customWidth="1"/>
    <col min="10308" max="10309" width="13" customWidth="1"/>
    <col min="10314" max="10314" width="13.5703125" customWidth="1"/>
    <col min="10315" max="10315" width="12.85546875" customWidth="1"/>
    <col min="10316" max="10316" width="12" customWidth="1"/>
    <col min="10317" max="10317" width="13.42578125" customWidth="1"/>
    <col min="10318" max="10318" width="11.42578125" customWidth="1"/>
    <col min="10319" max="10319" width="11.85546875" customWidth="1"/>
    <col min="10320" max="10320" width="12.5703125" customWidth="1"/>
    <col min="10321" max="10321" width="12.42578125" customWidth="1"/>
    <col min="10558" max="10558" width="13.140625" customWidth="1"/>
    <col min="10559" max="10559" width="11.7109375" customWidth="1"/>
    <col min="10560" max="10560" width="12" customWidth="1"/>
    <col min="10561" max="10561" width="12.28515625" customWidth="1"/>
    <col min="10562" max="10562" width="13.42578125" customWidth="1"/>
    <col min="10563" max="10563" width="13.140625" customWidth="1"/>
    <col min="10564" max="10565" width="13" customWidth="1"/>
    <col min="10570" max="10570" width="13.5703125" customWidth="1"/>
    <col min="10571" max="10571" width="12.85546875" customWidth="1"/>
    <col min="10572" max="10572" width="12" customWidth="1"/>
    <col min="10573" max="10573" width="13.42578125" customWidth="1"/>
    <col min="10574" max="10574" width="11.42578125" customWidth="1"/>
    <col min="10575" max="10575" width="11.85546875" customWidth="1"/>
    <col min="10576" max="10576" width="12.5703125" customWidth="1"/>
    <col min="10577" max="10577" width="12.42578125" customWidth="1"/>
    <col min="10814" max="10814" width="13.140625" customWidth="1"/>
    <col min="10815" max="10815" width="11.7109375" customWidth="1"/>
    <col min="10816" max="10816" width="12" customWidth="1"/>
    <col min="10817" max="10817" width="12.28515625" customWidth="1"/>
    <col min="10818" max="10818" width="13.42578125" customWidth="1"/>
    <col min="10819" max="10819" width="13.140625" customWidth="1"/>
    <col min="10820" max="10821" width="13" customWidth="1"/>
    <col min="10826" max="10826" width="13.5703125" customWidth="1"/>
    <col min="10827" max="10827" width="12.85546875" customWidth="1"/>
    <col min="10828" max="10828" width="12" customWidth="1"/>
    <col min="10829" max="10829" width="13.42578125" customWidth="1"/>
    <col min="10830" max="10830" width="11.42578125" customWidth="1"/>
    <col min="10831" max="10831" width="11.85546875" customWidth="1"/>
    <col min="10832" max="10832" width="12.5703125" customWidth="1"/>
    <col min="10833" max="10833" width="12.42578125" customWidth="1"/>
    <col min="11070" max="11070" width="13.140625" customWidth="1"/>
    <col min="11071" max="11071" width="11.7109375" customWidth="1"/>
    <col min="11072" max="11072" width="12" customWidth="1"/>
    <col min="11073" max="11073" width="12.28515625" customWidth="1"/>
    <col min="11074" max="11074" width="13.42578125" customWidth="1"/>
    <col min="11075" max="11075" width="13.140625" customWidth="1"/>
    <col min="11076" max="11077" width="13" customWidth="1"/>
    <col min="11082" max="11082" width="13.5703125" customWidth="1"/>
    <col min="11083" max="11083" width="12.85546875" customWidth="1"/>
    <col min="11084" max="11084" width="12" customWidth="1"/>
    <col min="11085" max="11085" width="13.42578125" customWidth="1"/>
    <col min="11086" max="11086" width="11.42578125" customWidth="1"/>
    <col min="11087" max="11087" width="11.85546875" customWidth="1"/>
    <col min="11088" max="11088" width="12.5703125" customWidth="1"/>
    <col min="11089" max="11089" width="12.42578125" customWidth="1"/>
    <col min="11326" max="11326" width="13.140625" customWidth="1"/>
    <col min="11327" max="11327" width="11.7109375" customWidth="1"/>
    <col min="11328" max="11328" width="12" customWidth="1"/>
    <col min="11329" max="11329" width="12.28515625" customWidth="1"/>
    <col min="11330" max="11330" width="13.42578125" customWidth="1"/>
    <col min="11331" max="11331" width="13.140625" customWidth="1"/>
    <col min="11332" max="11333" width="13" customWidth="1"/>
    <col min="11338" max="11338" width="13.5703125" customWidth="1"/>
    <col min="11339" max="11339" width="12.85546875" customWidth="1"/>
    <col min="11340" max="11340" width="12" customWidth="1"/>
    <col min="11341" max="11341" width="13.42578125" customWidth="1"/>
    <col min="11342" max="11342" width="11.42578125" customWidth="1"/>
    <col min="11343" max="11343" width="11.85546875" customWidth="1"/>
    <col min="11344" max="11344" width="12.5703125" customWidth="1"/>
    <col min="11345" max="11345" width="12.42578125" customWidth="1"/>
    <col min="11582" max="11582" width="13.140625" customWidth="1"/>
    <col min="11583" max="11583" width="11.7109375" customWidth="1"/>
    <col min="11584" max="11584" width="12" customWidth="1"/>
    <col min="11585" max="11585" width="12.28515625" customWidth="1"/>
    <col min="11586" max="11586" width="13.42578125" customWidth="1"/>
    <col min="11587" max="11587" width="13.140625" customWidth="1"/>
    <col min="11588" max="11589" width="13" customWidth="1"/>
    <col min="11594" max="11594" width="13.5703125" customWidth="1"/>
    <col min="11595" max="11595" width="12.85546875" customWidth="1"/>
    <col min="11596" max="11596" width="12" customWidth="1"/>
    <col min="11597" max="11597" width="13.42578125" customWidth="1"/>
    <col min="11598" max="11598" width="11.42578125" customWidth="1"/>
    <col min="11599" max="11599" width="11.85546875" customWidth="1"/>
    <col min="11600" max="11600" width="12.5703125" customWidth="1"/>
    <col min="11601" max="11601" width="12.42578125" customWidth="1"/>
    <col min="11838" max="11838" width="13.140625" customWidth="1"/>
    <col min="11839" max="11839" width="11.7109375" customWidth="1"/>
    <col min="11840" max="11840" width="12" customWidth="1"/>
    <col min="11841" max="11841" width="12.28515625" customWidth="1"/>
    <col min="11842" max="11842" width="13.42578125" customWidth="1"/>
    <col min="11843" max="11843" width="13.140625" customWidth="1"/>
    <col min="11844" max="11845" width="13" customWidth="1"/>
    <col min="11850" max="11850" width="13.5703125" customWidth="1"/>
    <col min="11851" max="11851" width="12.85546875" customWidth="1"/>
    <col min="11852" max="11852" width="12" customWidth="1"/>
    <col min="11853" max="11853" width="13.42578125" customWidth="1"/>
    <col min="11854" max="11854" width="11.42578125" customWidth="1"/>
    <col min="11855" max="11855" width="11.85546875" customWidth="1"/>
    <col min="11856" max="11856" width="12.5703125" customWidth="1"/>
    <col min="11857" max="11857" width="12.42578125" customWidth="1"/>
    <col min="12094" max="12094" width="13.140625" customWidth="1"/>
    <col min="12095" max="12095" width="11.7109375" customWidth="1"/>
    <col min="12096" max="12096" width="12" customWidth="1"/>
    <col min="12097" max="12097" width="12.28515625" customWidth="1"/>
    <col min="12098" max="12098" width="13.42578125" customWidth="1"/>
    <col min="12099" max="12099" width="13.140625" customWidth="1"/>
    <col min="12100" max="12101" width="13" customWidth="1"/>
    <col min="12106" max="12106" width="13.5703125" customWidth="1"/>
    <col min="12107" max="12107" width="12.85546875" customWidth="1"/>
    <col min="12108" max="12108" width="12" customWidth="1"/>
    <col min="12109" max="12109" width="13.42578125" customWidth="1"/>
    <col min="12110" max="12110" width="11.42578125" customWidth="1"/>
    <col min="12111" max="12111" width="11.85546875" customWidth="1"/>
    <col min="12112" max="12112" width="12.5703125" customWidth="1"/>
    <col min="12113" max="12113" width="12.42578125" customWidth="1"/>
    <col min="12350" max="12350" width="13.140625" customWidth="1"/>
    <col min="12351" max="12351" width="11.7109375" customWidth="1"/>
    <col min="12352" max="12352" width="12" customWidth="1"/>
    <col min="12353" max="12353" width="12.28515625" customWidth="1"/>
    <col min="12354" max="12354" width="13.42578125" customWidth="1"/>
    <col min="12355" max="12355" width="13.140625" customWidth="1"/>
    <col min="12356" max="12357" width="13" customWidth="1"/>
    <col min="12362" max="12362" width="13.5703125" customWidth="1"/>
    <col min="12363" max="12363" width="12.85546875" customWidth="1"/>
    <col min="12364" max="12364" width="12" customWidth="1"/>
    <col min="12365" max="12365" width="13.42578125" customWidth="1"/>
    <col min="12366" max="12366" width="11.42578125" customWidth="1"/>
    <col min="12367" max="12367" width="11.85546875" customWidth="1"/>
    <col min="12368" max="12368" width="12.5703125" customWidth="1"/>
    <col min="12369" max="12369" width="12.42578125" customWidth="1"/>
    <col min="12606" max="12606" width="13.140625" customWidth="1"/>
    <col min="12607" max="12607" width="11.7109375" customWidth="1"/>
    <col min="12608" max="12608" width="12" customWidth="1"/>
    <col min="12609" max="12609" width="12.28515625" customWidth="1"/>
    <col min="12610" max="12610" width="13.42578125" customWidth="1"/>
    <col min="12611" max="12611" width="13.140625" customWidth="1"/>
    <col min="12612" max="12613" width="13" customWidth="1"/>
    <col min="12618" max="12618" width="13.5703125" customWidth="1"/>
    <col min="12619" max="12619" width="12.85546875" customWidth="1"/>
    <col min="12620" max="12620" width="12" customWidth="1"/>
    <col min="12621" max="12621" width="13.42578125" customWidth="1"/>
    <col min="12622" max="12622" width="11.42578125" customWidth="1"/>
    <col min="12623" max="12623" width="11.85546875" customWidth="1"/>
    <col min="12624" max="12624" width="12.5703125" customWidth="1"/>
    <col min="12625" max="12625" width="12.42578125" customWidth="1"/>
    <col min="12862" max="12862" width="13.140625" customWidth="1"/>
    <col min="12863" max="12863" width="11.7109375" customWidth="1"/>
    <col min="12864" max="12864" width="12" customWidth="1"/>
    <col min="12865" max="12865" width="12.28515625" customWidth="1"/>
    <col min="12866" max="12866" width="13.42578125" customWidth="1"/>
    <col min="12867" max="12867" width="13.140625" customWidth="1"/>
    <col min="12868" max="12869" width="13" customWidth="1"/>
    <col min="12874" max="12874" width="13.5703125" customWidth="1"/>
    <col min="12875" max="12875" width="12.85546875" customWidth="1"/>
    <col min="12876" max="12876" width="12" customWidth="1"/>
    <col min="12877" max="12877" width="13.42578125" customWidth="1"/>
    <col min="12878" max="12878" width="11.42578125" customWidth="1"/>
    <col min="12879" max="12879" width="11.85546875" customWidth="1"/>
    <col min="12880" max="12880" width="12.5703125" customWidth="1"/>
    <col min="12881" max="12881" width="12.42578125" customWidth="1"/>
    <col min="13118" max="13118" width="13.140625" customWidth="1"/>
    <col min="13119" max="13119" width="11.7109375" customWidth="1"/>
    <col min="13120" max="13120" width="12" customWidth="1"/>
    <col min="13121" max="13121" width="12.28515625" customWidth="1"/>
    <col min="13122" max="13122" width="13.42578125" customWidth="1"/>
    <col min="13123" max="13123" width="13.140625" customWidth="1"/>
    <col min="13124" max="13125" width="13" customWidth="1"/>
    <col min="13130" max="13130" width="13.5703125" customWidth="1"/>
    <col min="13131" max="13131" width="12.85546875" customWidth="1"/>
    <col min="13132" max="13132" width="12" customWidth="1"/>
    <col min="13133" max="13133" width="13.42578125" customWidth="1"/>
    <col min="13134" max="13134" width="11.42578125" customWidth="1"/>
    <col min="13135" max="13135" width="11.85546875" customWidth="1"/>
    <col min="13136" max="13136" width="12.5703125" customWidth="1"/>
    <col min="13137" max="13137" width="12.42578125" customWidth="1"/>
    <col min="13374" max="13374" width="13.140625" customWidth="1"/>
    <col min="13375" max="13375" width="11.7109375" customWidth="1"/>
    <col min="13376" max="13376" width="12" customWidth="1"/>
    <col min="13377" max="13377" width="12.28515625" customWidth="1"/>
    <col min="13378" max="13378" width="13.42578125" customWidth="1"/>
    <col min="13379" max="13379" width="13.140625" customWidth="1"/>
    <col min="13380" max="13381" width="13" customWidth="1"/>
    <col min="13386" max="13386" width="13.5703125" customWidth="1"/>
    <col min="13387" max="13387" width="12.85546875" customWidth="1"/>
    <col min="13388" max="13388" width="12" customWidth="1"/>
    <col min="13389" max="13389" width="13.42578125" customWidth="1"/>
    <col min="13390" max="13390" width="11.42578125" customWidth="1"/>
    <col min="13391" max="13391" width="11.85546875" customWidth="1"/>
    <col min="13392" max="13392" width="12.5703125" customWidth="1"/>
    <col min="13393" max="13393" width="12.42578125" customWidth="1"/>
    <col min="13630" max="13630" width="13.140625" customWidth="1"/>
    <col min="13631" max="13631" width="11.7109375" customWidth="1"/>
    <col min="13632" max="13632" width="12" customWidth="1"/>
    <col min="13633" max="13633" width="12.28515625" customWidth="1"/>
    <col min="13634" max="13634" width="13.42578125" customWidth="1"/>
    <col min="13635" max="13635" width="13.140625" customWidth="1"/>
    <col min="13636" max="13637" width="13" customWidth="1"/>
    <col min="13642" max="13642" width="13.5703125" customWidth="1"/>
    <col min="13643" max="13643" width="12.85546875" customWidth="1"/>
    <col min="13644" max="13644" width="12" customWidth="1"/>
    <col min="13645" max="13645" width="13.42578125" customWidth="1"/>
    <col min="13646" max="13646" width="11.42578125" customWidth="1"/>
    <col min="13647" max="13647" width="11.85546875" customWidth="1"/>
    <col min="13648" max="13648" width="12.5703125" customWidth="1"/>
    <col min="13649" max="13649" width="12.42578125" customWidth="1"/>
    <col min="13886" max="13886" width="13.140625" customWidth="1"/>
    <col min="13887" max="13887" width="11.7109375" customWidth="1"/>
    <col min="13888" max="13888" width="12" customWidth="1"/>
    <col min="13889" max="13889" width="12.28515625" customWidth="1"/>
    <col min="13890" max="13890" width="13.42578125" customWidth="1"/>
    <col min="13891" max="13891" width="13.140625" customWidth="1"/>
    <col min="13892" max="13893" width="13" customWidth="1"/>
    <col min="13898" max="13898" width="13.5703125" customWidth="1"/>
    <col min="13899" max="13899" width="12.85546875" customWidth="1"/>
    <col min="13900" max="13900" width="12" customWidth="1"/>
    <col min="13901" max="13901" width="13.42578125" customWidth="1"/>
    <col min="13902" max="13902" width="11.42578125" customWidth="1"/>
    <col min="13903" max="13903" width="11.85546875" customWidth="1"/>
    <col min="13904" max="13904" width="12.5703125" customWidth="1"/>
    <col min="13905" max="13905" width="12.42578125" customWidth="1"/>
    <col min="14142" max="14142" width="13.140625" customWidth="1"/>
    <col min="14143" max="14143" width="11.7109375" customWidth="1"/>
    <col min="14144" max="14144" width="12" customWidth="1"/>
    <col min="14145" max="14145" width="12.28515625" customWidth="1"/>
    <col min="14146" max="14146" width="13.42578125" customWidth="1"/>
    <col min="14147" max="14147" width="13.140625" customWidth="1"/>
    <col min="14148" max="14149" width="13" customWidth="1"/>
    <col min="14154" max="14154" width="13.5703125" customWidth="1"/>
    <col min="14155" max="14155" width="12.85546875" customWidth="1"/>
    <col min="14156" max="14156" width="12" customWidth="1"/>
    <col min="14157" max="14157" width="13.42578125" customWidth="1"/>
    <col min="14158" max="14158" width="11.42578125" customWidth="1"/>
    <col min="14159" max="14159" width="11.85546875" customWidth="1"/>
    <col min="14160" max="14160" width="12.5703125" customWidth="1"/>
    <col min="14161" max="14161" width="12.42578125" customWidth="1"/>
    <col min="14398" max="14398" width="13.140625" customWidth="1"/>
    <col min="14399" max="14399" width="11.7109375" customWidth="1"/>
    <col min="14400" max="14400" width="12" customWidth="1"/>
    <col min="14401" max="14401" width="12.28515625" customWidth="1"/>
    <col min="14402" max="14402" width="13.42578125" customWidth="1"/>
    <col min="14403" max="14403" width="13.140625" customWidth="1"/>
    <col min="14404" max="14405" width="13" customWidth="1"/>
    <col min="14410" max="14410" width="13.5703125" customWidth="1"/>
    <col min="14411" max="14411" width="12.85546875" customWidth="1"/>
    <col min="14412" max="14412" width="12" customWidth="1"/>
    <col min="14413" max="14413" width="13.42578125" customWidth="1"/>
    <col min="14414" max="14414" width="11.42578125" customWidth="1"/>
    <col min="14415" max="14415" width="11.85546875" customWidth="1"/>
    <col min="14416" max="14416" width="12.5703125" customWidth="1"/>
    <col min="14417" max="14417" width="12.42578125" customWidth="1"/>
    <col min="14654" max="14654" width="13.140625" customWidth="1"/>
    <col min="14655" max="14655" width="11.7109375" customWidth="1"/>
    <col min="14656" max="14656" width="12" customWidth="1"/>
    <col min="14657" max="14657" width="12.28515625" customWidth="1"/>
    <col min="14658" max="14658" width="13.42578125" customWidth="1"/>
    <col min="14659" max="14659" width="13.140625" customWidth="1"/>
    <col min="14660" max="14661" width="13" customWidth="1"/>
    <col min="14666" max="14666" width="13.5703125" customWidth="1"/>
    <col min="14667" max="14667" width="12.85546875" customWidth="1"/>
    <col min="14668" max="14668" width="12" customWidth="1"/>
    <col min="14669" max="14669" width="13.42578125" customWidth="1"/>
    <col min="14670" max="14670" width="11.42578125" customWidth="1"/>
    <col min="14671" max="14671" width="11.85546875" customWidth="1"/>
    <col min="14672" max="14672" width="12.5703125" customWidth="1"/>
    <col min="14673" max="14673" width="12.42578125" customWidth="1"/>
    <col min="14910" max="14910" width="13.140625" customWidth="1"/>
    <col min="14911" max="14911" width="11.7109375" customWidth="1"/>
    <col min="14912" max="14912" width="12" customWidth="1"/>
    <col min="14913" max="14913" width="12.28515625" customWidth="1"/>
    <col min="14914" max="14914" width="13.42578125" customWidth="1"/>
    <col min="14915" max="14915" width="13.140625" customWidth="1"/>
    <col min="14916" max="14917" width="13" customWidth="1"/>
    <col min="14922" max="14922" width="13.5703125" customWidth="1"/>
    <col min="14923" max="14923" width="12.85546875" customWidth="1"/>
    <col min="14924" max="14924" width="12" customWidth="1"/>
    <col min="14925" max="14925" width="13.42578125" customWidth="1"/>
    <col min="14926" max="14926" width="11.42578125" customWidth="1"/>
    <col min="14927" max="14927" width="11.85546875" customWidth="1"/>
    <col min="14928" max="14928" width="12.5703125" customWidth="1"/>
    <col min="14929" max="14929" width="12.42578125" customWidth="1"/>
    <col min="15166" max="15166" width="13.140625" customWidth="1"/>
    <col min="15167" max="15167" width="11.7109375" customWidth="1"/>
    <col min="15168" max="15168" width="12" customWidth="1"/>
    <col min="15169" max="15169" width="12.28515625" customWidth="1"/>
    <col min="15170" max="15170" width="13.42578125" customWidth="1"/>
    <col min="15171" max="15171" width="13.140625" customWidth="1"/>
    <col min="15172" max="15173" width="13" customWidth="1"/>
    <col min="15178" max="15178" width="13.5703125" customWidth="1"/>
    <col min="15179" max="15179" width="12.85546875" customWidth="1"/>
    <col min="15180" max="15180" width="12" customWidth="1"/>
    <col min="15181" max="15181" width="13.42578125" customWidth="1"/>
    <col min="15182" max="15182" width="11.42578125" customWidth="1"/>
    <col min="15183" max="15183" width="11.85546875" customWidth="1"/>
    <col min="15184" max="15184" width="12.5703125" customWidth="1"/>
    <col min="15185" max="15185" width="12.42578125" customWidth="1"/>
    <col min="15422" max="15422" width="13.140625" customWidth="1"/>
    <col min="15423" max="15423" width="11.7109375" customWidth="1"/>
    <col min="15424" max="15424" width="12" customWidth="1"/>
    <col min="15425" max="15425" width="12.28515625" customWidth="1"/>
    <col min="15426" max="15426" width="13.42578125" customWidth="1"/>
    <col min="15427" max="15427" width="13.140625" customWidth="1"/>
    <col min="15428" max="15429" width="13" customWidth="1"/>
    <col min="15434" max="15434" width="13.5703125" customWidth="1"/>
    <col min="15435" max="15435" width="12.85546875" customWidth="1"/>
    <col min="15436" max="15436" width="12" customWidth="1"/>
    <col min="15437" max="15437" width="13.42578125" customWidth="1"/>
    <col min="15438" max="15438" width="11.42578125" customWidth="1"/>
    <col min="15439" max="15439" width="11.85546875" customWidth="1"/>
    <col min="15440" max="15440" width="12.5703125" customWidth="1"/>
    <col min="15441" max="15441" width="12.42578125" customWidth="1"/>
    <col min="15678" max="15678" width="13.140625" customWidth="1"/>
    <col min="15679" max="15679" width="11.7109375" customWidth="1"/>
    <col min="15680" max="15680" width="12" customWidth="1"/>
    <col min="15681" max="15681" width="12.28515625" customWidth="1"/>
    <col min="15682" max="15682" width="13.42578125" customWidth="1"/>
    <col min="15683" max="15683" width="13.140625" customWidth="1"/>
    <col min="15684" max="15685" width="13" customWidth="1"/>
    <col min="15690" max="15690" width="13.5703125" customWidth="1"/>
    <col min="15691" max="15691" width="12.85546875" customWidth="1"/>
    <col min="15692" max="15692" width="12" customWidth="1"/>
    <col min="15693" max="15693" width="13.42578125" customWidth="1"/>
    <col min="15694" max="15694" width="11.42578125" customWidth="1"/>
    <col min="15695" max="15695" width="11.85546875" customWidth="1"/>
    <col min="15696" max="15696" width="12.5703125" customWidth="1"/>
    <col min="15697" max="15697" width="12.42578125" customWidth="1"/>
    <col min="15934" max="15934" width="13.140625" customWidth="1"/>
    <col min="15935" max="15935" width="11.7109375" customWidth="1"/>
    <col min="15936" max="15936" width="12" customWidth="1"/>
    <col min="15937" max="15937" width="12.28515625" customWidth="1"/>
    <col min="15938" max="15938" width="13.42578125" customWidth="1"/>
    <col min="15939" max="15939" width="13.140625" customWidth="1"/>
    <col min="15940" max="15941" width="13" customWidth="1"/>
    <col min="15946" max="15946" width="13.5703125" customWidth="1"/>
    <col min="15947" max="15947" width="12.85546875" customWidth="1"/>
    <col min="15948" max="15948" width="12" customWidth="1"/>
    <col min="15949" max="15949" width="13.42578125" customWidth="1"/>
    <col min="15950" max="15950" width="11.42578125" customWidth="1"/>
    <col min="15951" max="15951" width="11.85546875" customWidth="1"/>
    <col min="15952" max="15952" width="12.5703125" customWidth="1"/>
    <col min="15953" max="15953" width="12.42578125" customWidth="1"/>
    <col min="16190" max="16190" width="13.140625" customWidth="1"/>
    <col min="16191" max="16191" width="11.7109375" customWidth="1"/>
    <col min="16192" max="16192" width="12" customWidth="1"/>
    <col min="16193" max="16193" width="12.28515625" customWidth="1"/>
    <col min="16194" max="16194" width="13.42578125" customWidth="1"/>
    <col min="16195" max="16195" width="13.140625" customWidth="1"/>
    <col min="16196" max="16197" width="13" customWidth="1"/>
    <col min="16202" max="16202" width="13.5703125" customWidth="1"/>
    <col min="16203" max="16203" width="12.85546875" customWidth="1"/>
    <col min="16204" max="16204" width="12" customWidth="1"/>
    <col min="16205" max="16205" width="13.42578125" customWidth="1"/>
    <col min="16206" max="16206" width="11.42578125" customWidth="1"/>
    <col min="16207" max="16207" width="11.85546875" customWidth="1"/>
    <col min="16208" max="16208" width="12.5703125" customWidth="1"/>
    <col min="16209" max="16209" width="12.42578125" customWidth="1"/>
  </cols>
  <sheetData>
    <row r="1" spans="2:37" s="122" customFormat="1" x14ac:dyDescent="0.25"/>
    <row r="2" spans="2:37" s="1" customFormat="1" x14ac:dyDescent="0.25">
      <c r="B2" s="127" t="s">
        <v>206</v>
      </c>
      <c r="M2" s="80"/>
      <c r="AB2" s="9"/>
      <c r="AC2" s="9"/>
      <c r="AD2" s="9"/>
      <c r="AE2" s="9"/>
      <c r="AF2" s="9"/>
      <c r="AG2" s="9"/>
      <c r="AH2" s="9"/>
      <c r="AI2" s="9"/>
    </row>
    <row r="3" spans="2:37" s="1" customFormat="1" x14ac:dyDescent="0.25">
      <c r="B3" s="2" t="s">
        <v>50</v>
      </c>
      <c r="M3" s="80"/>
      <c r="AB3" s="9"/>
      <c r="AC3" s="9"/>
      <c r="AD3" s="9"/>
      <c r="AE3" s="9"/>
      <c r="AF3" s="9"/>
      <c r="AG3" s="9"/>
      <c r="AH3" s="9"/>
      <c r="AI3" s="9"/>
    </row>
    <row r="4" spans="2:37" s="1" customFormat="1" x14ac:dyDescent="0.25">
      <c r="B4" s="4" t="s">
        <v>4</v>
      </c>
      <c r="C4" s="5" t="s">
        <v>262</v>
      </c>
      <c r="D4" s="46" t="s">
        <v>137</v>
      </c>
      <c r="E4" s="46" t="s">
        <v>138</v>
      </c>
      <c r="F4" s="46" t="s">
        <v>139</v>
      </c>
      <c r="G4" s="5" t="s">
        <v>140</v>
      </c>
      <c r="H4" s="46" t="s">
        <v>140</v>
      </c>
      <c r="I4" s="46" t="s">
        <v>140</v>
      </c>
      <c r="J4" s="5" t="s">
        <v>139</v>
      </c>
      <c r="K4" s="5" t="s">
        <v>138</v>
      </c>
      <c r="L4" s="5" t="s">
        <v>141</v>
      </c>
      <c r="M4" s="40" t="s">
        <v>243</v>
      </c>
      <c r="N4" s="124" t="s">
        <v>205</v>
      </c>
      <c r="P4" s="4" t="s">
        <v>25</v>
      </c>
      <c r="Q4" s="5" t="s">
        <v>262</v>
      </c>
      <c r="R4" s="46" t="s">
        <v>137</v>
      </c>
      <c r="S4" s="46" t="s">
        <v>138</v>
      </c>
      <c r="T4" s="46" t="s">
        <v>139</v>
      </c>
      <c r="U4" s="5" t="s">
        <v>140</v>
      </c>
      <c r="V4" s="46" t="s">
        <v>140</v>
      </c>
      <c r="W4" s="46" t="s">
        <v>140</v>
      </c>
      <c r="X4" s="5" t="s">
        <v>139</v>
      </c>
      <c r="Y4" s="5" t="s">
        <v>138</v>
      </c>
      <c r="Z4" s="5" t="s">
        <v>141</v>
      </c>
      <c r="AA4" s="40" t="s">
        <v>243</v>
      </c>
      <c r="AB4" s="124" t="s">
        <v>205</v>
      </c>
      <c r="AD4" s="9"/>
      <c r="AE4" s="9"/>
      <c r="AF4" s="9"/>
      <c r="AG4" s="9"/>
      <c r="AH4" s="9"/>
      <c r="AI4" s="9"/>
      <c r="AJ4" s="9"/>
      <c r="AK4" s="9"/>
    </row>
    <row r="5" spans="2:37" s="1" customFormat="1" x14ac:dyDescent="0.25">
      <c r="B5" s="43" t="s">
        <v>209</v>
      </c>
      <c r="C5" s="22" t="s">
        <v>5</v>
      </c>
      <c r="D5" s="22">
        <v>1</v>
      </c>
      <c r="E5" s="22">
        <v>0</v>
      </c>
      <c r="F5" s="22">
        <v>0</v>
      </c>
      <c r="G5" s="22">
        <v>0</v>
      </c>
      <c r="H5" s="22">
        <v>0</v>
      </c>
      <c r="I5" s="22">
        <v>0</v>
      </c>
      <c r="J5" s="22">
        <v>0</v>
      </c>
      <c r="K5" s="22">
        <v>0</v>
      </c>
      <c r="L5" s="22">
        <v>3</v>
      </c>
      <c r="M5" s="14">
        <f>SUM(D5:L5)</f>
        <v>4</v>
      </c>
      <c r="N5" s="72">
        <f>AVERAGE(M5:M6)</f>
        <v>4.5</v>
      </c>
      <c r="P5" s="43" t="s">
        <v>209</v>
      </c>
      <c r="Q5" s="22" t="s">
        <v>5</v>
      </c>
      <c r="R5" s="11">
        <v>2</v>
      </c>
      <c r="S5" s="11">
        <v>0</v>
      </c>
      <c r="T5" s="11">
        <v>0</v>
      </c>
      <c r="U5" s="11">
        <v>0</v>
      </c>
      <c r="V5" s="11">
        <v>0</v>
      </c>
      <c r="W5" s="11">
        <v>0</v>
      </c>
      <c r="X5" s="11">
        <v>0</v>
      </c>
      <c r="Y5" s="11">
        <v>0</v>
      </c>
      <c r="Z5" s="11">
        <v>4</v>
      </c>
      <c r="AA5" s="12">
        <f t="shared" ref="AA5:AA20" si="0">SUM(R5:Z5)</f>
        <v>6</v>
      </c>
      <c r="AB5" s="72">
        <f>AVERAGE(AA5:AA6)</f>
        <v>6.5</v>
      </c>
      <c r="AD5" s="9"/>
      <c r="AE5" s="9"/>
      <c r="AF5" s="9"/>
      <c r="AG5" s="9"/>
      <c r="AH5" s="9"/>
      <c r="AI5" s="9"/>
      <c r="AJ5" s="9"/>
      <c r="AK5" s="9"/>
    </row>
    <row r="6" spans="2:37" s="1" customFormat="1" x14ac:dyDescent="0.25">
      <c r="B6" s="10"/>
      <c r="C6" s="11"/>
      <c r="D6" s="11">
        <v>2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3</v>
      </c>
      <c r="M6" s="12">
        <f t="shared" ref="M6:M20" si="1">SUM(D6:L6)</f>
        <v>5</v>
      </c>
      <c r="N6" s="69"/>
      <c r="P6" s="10"/>
      <c r="Q6" s="11"/>
      <c r="R6" s="11">
        <v>3</v>
      </c>
      <c r="S6" s="11">
        <v>0</v>
      </c>
      <c r="T6" s="11">
        <v>0</v>
      </c>
      <c r="U6" s="11">
        <v>0</v>
      </c>
      <c r="V6" s="11">
        <v>0</v>
      </c>
      <c r="W6" s="11">
        <v>0</v>
      </c>
      <c r="X6" s="11">
        <v>0</v>
      </c>
      <c r="Y6" s="11">
        <v>0</v>
      </c>
      <c r="Z6" s="11">
        <v>4</v>
      </c>
      <c r="AA6" s="12">
        <f t="shared" si="0"/>
        <v>7</v>
      </c>
      <c r="AB6" s="69"/>
      <c r="AD6" s="9"/>
      <c r="AE6" s="9"/>
      <c r="AF6" s="9"/>
      <c r="AG6" s="9"/>
      <c r="AH6" s="9"/>
      <c r="AI6" s="9"/>
      <c r="AJ6" s="9"/>
      <c r="AK6" s="9"/>
    </row>
    <row r="7" spans="2:37" s="1" customFormat="1" x14ac:dyDescent="0.25">
      <c r="B7" s="10"/>
      <c r="C7" s="11" t="s">
        <v>6</v>
      </c>
      <c r="D7" s="11">
        <v>8</v>
      </c>
      <c r="E7" s="11">
        <v>0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5</v>
      </c>
      <c r="M7" s="12">
        <f t="shared" si="1"/>
        <v>13</v>
      </c>
      <c r="N7" s="69">
        <f>AVERAGE(M7:M8)</f>
        <v>11</v>
      </c>
      <c r="P7" s="10"/>
      <c r="Q7" s="11" t="s">
        <v>6</v>
      </c>
      <c r="R7" s="11">
        <v>3</v>
      </c>
      <c r="S7" s="11">
        <v>0</v>
      </c>
      <c r="T7" s="11">
        <v>0</v>
      </c>
      <c r="U7" s="11">
        <v>0</v>
      </c>
      <c r="V7" s="11">
        <v>0</v>
      </c>
      <c r="W7" s="11">
        <v>0</v>
      </c>
      <c r="X7" s="11">
        <v>0</v>
      </c>
      <c r="Y7" s="11">
        <v>0</v>
      </c>
      <c r="Z7" s="11">
        <v>9</v>
      </c>
      <c r="AA7" s="12">
        <f t="shared" si="0"/>
        <v>12</v>
      </c>
      <c r="AB7" s="69">
        <f>AVERAGE(AA7:AA8)</f>
        <v>10</v>
      </c>
      <c r="AD7" s="9"/>
      <c r="AE7" s="9"/>
      <c r="AF7" s="9"/>
      <c r="AG7" s="9"/>
      <c r="AH7" s="9"/>
      <c r="AI7" s="9"/>
      <c r="AJ7" s="9"/>
      <c r="AK7" s="9"/>
    </row>
    <row r="8" spans="2:37" s="1" customFormat="1" x14ac:dyDescent="0.25">
      <c r="B8" s="10"/>
      <c r="C8" s="11"/>
      <c r="D8" s="11">
        <v>7</v>
      </c>
      <c r="E8" s="11">
        <v>0</v>
      </c>
      <c r="F8" s="11">
        <v>0</v>
      </c>
      <c r="G8" s="11">
        <v>0</v>
      </c>
      <c r="H8" s="11">
        <v>0</v>
      </c>
      <c r="I8" s="11">
        <v>0</v>
      </c>
      <c r="J8" s="11">
        <v>0</v>
      </c>
      <c r="K8" s="11">
        <v>0</v>
      </c>
      <c r="L8" s="11">
        <v>2</v>
      </c>
      <c r="M8" s="12">
        <f t="shared" si="1"/>
        <v>9</v>
      </c>
      <c r="N8" s="69"/>
      <c r="P8" s="10"/>
      <c r="Q8" s="11"/>
      <c r="R8" s="11">
        <v>4</v>
      </c>
      <c r="S8" s="11">
        <v>0</v>
      </c>
      <c r="T8" s="11">
        <v>0</v>
      </c>
      <c r="U8" s="11">
        <v>0</v>
      </c>
      <c r="V8" s="11">
        <v>0</v>
      </c>
      <c r="W8" s="11">
        <v>0</v>
      </c>
      <c r="X8" s="11">
        <v>0</v>
      </c>
      <c r="Y8" s="11">
        <v>0</v>
      </c>
      <c r="Z8" s="11">
        <v>4</v>
      </c>
      <c r="AA8" s="12">
        <f t="shared" si="0"/>
        <v>8</v>
      </c>
      <c r="AB8" s="69"/>
      <c r="AD8" s="9"/>
      <c r="AE8" s="9"/>
      <c r="AF8" s="9"/>
      <c r="AG8" s="9"/>
      <c r="AH8" s="9"/>
      <c r="AI8" s="9"/>
      <c r="AJ8" s="9"/>
      <c r="AK8" s="9"/>
    </row>
    <row r="9" spans="2:37" s="1" customFormat="1" x14ac:dyDescent="0.25">
      <c r="B9" s="10"/>
      <c r="C9" s="11" t="s">
        <v>7</v>
      </c>
      <c r="D9" s="11">
        <v>6</v>
      </c>
      <c r="E9" s="11">
        <v>0</v>
      </c>
      <c r="F9" s="11">
        <v>0</v>
      </c>
      <c r="G9" s="11">
        <v>0</v>
      </c>
      <c r="H9" s="11">
        <v>0</v>
      </c>
      <c r="I9" s="11">
        <v>0</v>
      </c>
      <c r="J9" s="11">
        <v>0</v>
      </c>
      <c r="K9" s="11">
        <v>0</v>
      </c>
      <c r="L9" s="11">
        <v>4</v>
      </c>
      <c r="M9" s="12">
        <f t="shared" si="1"/>
        <v>10</v>
      </c>
      <c r="N9" s="69">
        <f>AVERAGE(M9:M10)</f>
        <v>11.5</v>
      </c>
      <c r="P9" s="10"/>
      <c r="Q9" s="11" t="s">
        <v>7</v>
      </c>
      <c r="R9" s="11">
        <v>6</v>
      </c>
      <c r="S9" s="11">
        <v>0</v>
      </c>
      <c r="T9" s="11">
        <v>0</v>
      </c>
      <c r="U9" s="11">
        <v>0</v>
      </c>
      <c r="V9" s="11">
        <v>0</v>
      </c>
      <c r="W9" s="11">
        <v>0</v>
      </c>
      <c r="X9" s="11">
        <v>0</v>
      </c>
      <c r="Y9" s="11">
        <v>0</v>
      </c>
      <c r="Z9" s="11">
        <v>3</v>
      </c>
      <c r="AA9" s="12">
        <f t="shared" si="0"/>
        <v>9</v>
      </c>
      <c r="AB9" s="69">
        <f>AVERAGE(AA9:AA10)</f>
        <v>9</v>
      </c>
      <c r="AD9" s="9"/>
      <c r="AE9" s="9"/>
      <c r="AF9" s="9"/>
      <c r="AG9" s="9"/>
      <c r="AH9" s="9"/>
      <c r="AI9" s="9"/>
      <c r="AJ9" s="9"/>
      <c r="AK9" s="9"/>
    </row>
    <row r="10" spans="2:37" s="1" customFormat="1" x14ac:dyDescent="0.25">
      <c r="B10" s="10"/>
      <c r="C10" s="11"/>
      <c r="D10" s="11">
        <v>8</v>
      </c>
      <c r="E10" s="11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11">
        <v>5</v>
      </c>
      <c r="M10" s="12">
        <f t="shared" si="1"/>
        <v>13</v>
      </c>
      <c r="N10" s="69"/>
      <c r="P10" s="10"/>
      <c r="Q10" s="11"/>
      <c r="R10" s="11">
        <v>4</v>
      </c>
      <c r="S10" s="11">
        <v>0</v>
      </c>
      <c r="T10" s="11">
        <v>0</v>
      </c>
      <c r="U10" s="11">
        <v>0</v>
      </c>
      <c r="V10" s="11">
        <v>0</v>
      </c>
      <c r="W10" s="11">
        <v>0</v>
      </c>
      <c r="X10" s="11">
        <v>0</v>
      </c>
      <c r="Y10" s="11">
        <v>0</v>
      </c>
      <c r="Z10" s="11">
        <v>5</v>
      </c>
      <c r="AA10" s="12">
        <f t="shared" si="0"/>
        <v>9</v>
      </c>
      <c r="AB10" s="69"/>
      <c r="AD10" s="9"/>
      <c r="AE10" s="9"/>
      <c r="AF10" s="9"/>
      <c r="AG10" s="9"/>
      <c r="AH10" s="9"/>
      <c r="AI10" s="9"/>
      <c r="AJ10" s="9"/>
      <c r="AK10" s="9"/>
    </row>
    <row r="11" spans="2:37" s="1" customFormat="1" x14ac:dyDescent="0.25">
      <c r="B11" s="10"/>
      <c r="C11" s="11" t="s">
        <v>8</v>
      </c>
      <c r="D11" s="11">
        <v>9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4</v>
      </c>
      <c r="M11" s="12">
        <f t="shared" si="1"/>
        <v>13</v>
      </c>
      <c r="N11" s="69">
        <f>AVERAGE(M11:M12)</f>
        <v>15</v>
      </c>
      <c r="P11" s="10"/>
      <c r="Q11" s="11" t="s">
        <v>8</v>
      </c>
      <c r="R11" s="11">
        <v>1</v>
      </c>
      <c r="S11" s="11">
        <v>0</v>
      </c>
      <c r="T11" s="11">
        <v>0</v>
      </c>
      <c r="U11" s="11">
        <v>0</v>
      </c>
      <c r="V11" s="11">
        <v>0</v>
      </c>
      <c r="W11" s="11">
        <v>0</v>
      </c>
      <c r="X11" s="11">
        <v>0</v>
      </c>
      <c r="Y11" s="11">
        <v>0</v>
      </c>
      <c r="Z11" s="11">
        <v>6</v>
      </c>
      <c r="AA11" s="12">
        <f t="shared" si="0"/>
        <v>7</v>
      </c>
      <c r="AB11" s="69">
        <f>AVERAGE(AA11:AA12)</f>
        <v>7.5</v>
      </c>
      <c r="AD11" s="9"/>
      <c r="AE11" s="9"/>
      <c r="AF11" s="9"/>
      <c r="AG11" s="9"/>
      <c r="AH11" s="9"/>
      <c r="AI11" s="9"/>
      <c r="AJ11" s="9"/>
      <c r="AK11" s="9"/>
    </row>
    <row r="12" spans="2:37" s="1" customFormat="1" x14ac:dyDescent="0.25">
      <c r="B12" s="10"/>
      <c r="C12" s="11"/>
      <c r="D12" s="11">
        <v>9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  <c r="J12" s="11">
        <v>0</v>
      </c>
      <c r="K12" s="11">
        <v>0</v>
      </c>
      <c r="L12" s="11">
        <v>8</v>
      </c>
      <c r="M12" s="12">
        <f t="shared" si="1"/>
        <v>17</v>
      </c>
      <c r="N12" s="69"/>
      <c r="P12" s="10"/>
      <c r="Q12" s="11"/>
      <c r="R12" s="11">
        <v>3</v>
      </c>
      <c r="S12" s="11">
        <v>0</v>
      </c>
      <c r="T12" s="11">
        <v>0</v>
      </c>
      <c r="U12" s="11">
        <v>0</v>
      </c>
      <c r="V12" s="11">
        <v>0</v>
      </c>
      <c r="W12" s="11">
        <v>0</v>
      </c>
      <c r="X12" s="11">
        <v>0</v>
      </c>
      <c r="Y12" s="11">
        <v>0</v>
      </c>
      <c r="Z12" s="11">
        <v>5</v>
      </c>
      <c r="AA12" s="12">
        <f t="shared" si="0"/>
        <v>8</v>
      </c>
      <c r="AB12" s="69"/>
      <c r="AD12" s="9"/>
      <c r="AE12" s="9"/>
      <c r="AF12" s="9"/>
      <c r="AG12" s="9"/>
      <c r="AH12" s="9"/>
      <c r="AI12" s="9"/>
      <c r="AJ12" s="9"/>
      <c r="AK12" s="9"/>
    </row>
    <row r="13" spans="2:37" s="1" customFormat="1" x14ac:dyDescent="0.25">
      <c r="B13" s="10"/>
      <c r="C13" s="11" t="s">
        <v>14</v>
      </c>
      <c r="D13" s="11">
        <v>9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  <c r="J13" s="11">
        <v>0</v>
      </c>
      <c r="K13" s="11">
        <v>0</v>
      </c>
      <c r="L13" s="11">
        <v>9</v>
      </c>
      <c r="M13" s="12">
        <f t="shared" si="1"/>
        <v>18</v>
      </c>
      <c r="N13" s="69">
        <f>AVERAGE(M13:M14)</f>
        <v>14.5</v>
      </c>
      <c r="P13" s="10"/>
      <c r="Q13" s="11" t="s">
        <v>14</v>
      </c>
      <c r="R13" s="11">
        <v>1</v>
      </c>
      <c r="S13" s="11">
        <v>0</v>
      </c>
      <c r="T13" s="11">
        <v>0</v>
      </c>
      <c r="U13" s="11">
        <v>0</v>
      </c>
      <c r="V13" s="11">
        <v>0</v>
      </c>
      <c r="W13" s="11">
        <v>0</v>
      </c>
      <c r="X13" s="11">
        <v>0</v>
      </c>
      <c r="Y13" s="11">
        <v>0</v>
      </c>
      <c r="Z13" s="11">
        <v>5</v>
      </c>
      <c r="AA13" s="12">
        <f t="shared" si="0"/>
        <v>6</v>
      </c>
      <c r="AB13" s="69">
        <f>AVERAGE(AA13:AA14)</f>
        <v>7</v>
      </c>
      <c r="AD13" s="9"/>
      <c r="AE13" s="9"/>
      <c r="AF13" s="9"/>
      <c r="AG13" s="9"/>
      <c r="AH13" s="9"/>
      <c r="AI13" s="9"/>
      <c r="AJ13" s="9"/>
      <c r="AK13" s="9"/>
    </row>
    <row r="14" spans="2:37" s="1" customFormat="1" x14ac:dyDescent="0.25">
      <c r="B14" s="10"/>
      <c r="C14" s="11"/>
      <c r="D14" s="11">
        <v>6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5</v>
      </c>
      <c r="M14" s="12">
        <f t="shared" si="1"/>
        <v>11</v>
      </c>
      <c r="N14" s="69"/>
      <c r="P14" s="10"/>
      <c r="Q14" s="11"/>
      <c r="R14" s="11">
        <v>5</v>
      </c>
      <c r="S14" s="11">
        <v>0</v>
      </c>
      <c r="T14" s="11">
        <v>0</v>
      </c>
      <c r="U14" s="11">
        <v>0</v>
      </c>
      <c r="V14" s="11">
        <v>0</v>
      </c>
      <c r="W14" s="11">
        <v>0</v>
      </c>
      <c r="X14" s="11">
        <v>0</v>
      </c>
      <c r="Y14" s="11">
        <v>0</v>
      </c>
      <c r="Z14" s="11">
        <v>3</v>
      </c>
      <c r="AA14" s="12">
        <f t="shared" si="0"/>
        <v>8</v>
      </c>
      <c r="AB14" s="69"/>
      <c r="AD14" s="9"/>
      <c r="AE14" s="9"/>
      <c r="AF14" s="9"/>
      <c r="AG14" s="9"/>
      <c r="AH14" s="9"/>
      <c r="AI14" s="9"/>
      <c r="AJ14" s="9"/>
      <c r="AK14" s="9"/>
    </row>
    <row r="15" spans="2:37" s="1" customFormat="1" x14ac:dyDescent="0.25">
      <c r="B15" s="10"/>
      <c r="C15" s="11" t="s">
        <v>15</v>
      </c>
      <c r="D15" s="11">
        <v>4</v>
      </c>
      <c r="E15" s="11">
        <v>0</v>
      </c>
      <c r="F15" s="11">
        <v>0</v>
      </c>
      <c r="G15" s="11">
        <v>0</v>
      </c>
      <c r="H15" s="11">
        <v>0</v>
      </c>
      <c r="I15" s="11">
        <v>0</v>
      </c>
      <c r="J15" s="11">
        <v>0</v>
      </c>
      <c r="K15" s="11">
        <v>0</v>
      </c>
      <c r="L15" s="11">
        <v>4</v>
      </c>
      <c r="M15" s="12">
        <f t="shared" si="1"/>
        <v>8</v>
      </c>
      <c r="N15" s="69">
        <f>AVERAGE(M15:M16)</f>
        <v>9.5</v>
      </c>
      <c r="P15" s="10"/>
      <c r="Q15" s="11" t="s">
        <v>15</v>
      </c>
      <c r="R15" s="11">
        <v>6</v>
      </c>
      <c r="S15" s="11">
        <v>0</v>
      </c>
      <c r="T15" s="11">
        <v>0</v>
      </c>
      <c r="U15" s="11">
        <v>0</v>
      </c>
      <c r="V15" s="11">
        <v>0</v>
      </c>
      <c r="W15" s="11">
        <v>0</v>
      </c>
      <c r="X15" s="11">
        <v>0</v>
      </c>
      <c r="Y15" s="11">
        <v>0</v>
      </c>
      <c r="Z15" s="11">
        <v>2</v>
      </c>
      <c r="AA15" s="12">
        <f t="shared" si="0"/>
        <v>8</v>
      </c>
      <c r="AB15" s="69">
        <f>AVERAGE(AA15:AA16)</f>
        <v>9.5</v>
      </c>
      <c r="AD15" s="9"/>
      <c r="AE15" s="9"/>
      <c r="AF15" s="9"/>
      <c r="AG15" s="9"/>
      <c r="AH15" s="9"/>
      <c r="AI15" s="9"/>
      <c r="AJ15" s="9"/>
      <c r="AK15" s="9"/>
    </row>
    <row r="16" spans="2:37" s="1" customFormat="1" x14ac:dyDescent="0.25">
      <c r="B16" s="10"/>
      <c r="C16" s="11"/>
      <c r="D16" s="11">
        <v>5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  <c r="J16" s="11">
        <v>0</v>
      </c>
      <c r="K16" s="11">
        <v>0</v>
      </c>
      <c r="L16" s="11">
        <v>6</v>
      </c>
      <c r="M16" s="12">
        <f t="shared" si="1"/>
        <v>11</v>
      </c>
      <c r="N16" s="69"/>
      <c r="P16" s="10"/>
      <c r="Q16" s="11"/>
      <c r="R16" s="11">
        <v>8</v>
      </c>
      <c r="S16" s="11">
        <v>0</v>
      </c>
      <c r="T16" s="11">
        <v>0</v>
      </c>
      <c r="U16" s="11">
        <v>0</v>
      </c>
      <c r="V16" s="11">
        <v>0</v>
      </c>
      <c r="W16" s="11">
        <v>0</v>
      </c>
      <c r="X16" s="11">
        <v>0</v>
      </c>
      <c r="Y16" s="11">
        <v>0</v>
      </c>
      <c r="Z16" s="11">
        <v>3</v>
      </c>
      <c r="AA16" s="12">
        <f t="shared" si="0"/>
        <v>11</v>
      </c>
      <c r="AB16" s="69"/>
      <c r="AD16" s="9"/>
      <c r="AE16" s="9"/>
      <c r="AF16" s="9"/>
      <c r="AG16" s="9"/>
      <c r="AH16" s="9"/>
      <c r="AI16" s="9"/>
      <c r="AJ16" s="9"/>
      <c r="AK16" s="9"/>
    </row>
    <row r="17" spans="2:37" s="1" customFormat="1" x14ac:dyDescent="0.25">
      <c r="B17" s="10"/>
      <c r="C17" s="11" t="s">
        <v>19</v>
      </c>
      <c r="D17" s="11">
        <v>5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7</v>
      </c>
      <c r="M17" s="12">
        <f t="shared" si="1"/>
        <v>12</v>
      </c>
      <c r="N17" s="69">
        <f>AVERAGE(M17:M18)</f>
        <v>11</v>
      </c>
      <c r="P17" s="10"/>
      <c r="Q17" s="11" t="s">
        <v>19</v>
      </c>
      <c r="R17" s="11">
        <v>3</v>
      </c>
      <c r="S17" s="11">
        <v>0</v>
      </c>
      <c r="T17" s="11">
        <v>0</v>
      </c>
      <c r="U17" s="11">
        <v>0</v>
      </c>
      <c r="V17" s="11">
        <v>0</v>
      </c>
      <c r="W17" s="11">
        <v>0</v>
      </c>
      <c r="X17" s="11">
        <v>0</v>
      </c>
      <c r="Y17" s="11">
        <v>0</v>
      </c>
      <c r="Z17" s="11">
        <v>4</v>
      </c>
      <c r="AA17" s="12">
        <f t="shared" si="0"/>
        <v>7</v>
      </c>
      <c r="AB17" s="69">
        <f>AVERAGE(AA17:AA18)</f>
        <v>7</v>
      </c>
      <c r="AD17" s="9"/>
      <c r="AE17" s="9"/>
      <c r="AF17" s="9"/>
      <c r="AG17" s="9"/>
      <c r="AH17" s="9"/>
      <c r="AI17" s="9"/>
      <c r="AJ17" s="9"/>
      <c r="AK17" s="9"/>
    </row>
    <row r="18" spans="2:37" s="1" customFormat="1" x14ac:dyDescent="0.25">
      <c r="B18" s="10"/>
      <c r="C18" s="11"/>
      <c r="D18" s="11">
        <v>4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  <c r="J18" s="11">
        <v>0</v>
      </c>
      <c r="K18" s="11">
        <v>0</v>
      </c>
      <c r="L18" s="11">
        <v>6</v>
      </c>
      <c r="M18" s="12">
        <f t="shared" si="1"/>
        <v>10</v>
      </c>
      <c r="N18" s="69"/>
      <c r="P18" s="10"/>
      <c r="Q18" s="11"/>
      <c r="R18" s="11">
        <v>4</v>
      </c>
      <c r="S18" s="11">
        <v>0</v>
      </c>
      <c r="T18" s="11">
        <v>0</v>
      </c>
      <c r="U18" s="11">
        <v>0</v>
      </c>
      <c r="V18" s="11">
        <v>0</v>
      </c>
      <c r="W18" s="11">
        <v>0</v>
      </c>
      <c r="X18" s="11">
        <v>0</v>
      </c>
      <c r="Y18" s="11">
        <v>0</v>
      </c>
      <c r="Z18" s="11">
        <v>3</v>
      </c>
      <c r="AA18" s="12">
        <f t="shared" si="0"/>
        <v>7</v>
      </c>
      <c r="AB18" s="69"/>
      <c r="AD18" s="9"/>
      <c r="AE18" s="9"/>
      <c r="AF18" s="9"/>
      <c r="AG18" s="9"/>
      <c r="AH18" s="9"/>
      <c r="AI18" s="9"/>
      <c r="AJ18" s="9"/>
      <c r="AK18" s="9"/>
    </row>
    <row r="19" spans="2:37" s="1" customFormat="1" x14ac:dyDescent="0.25">
      <c r="B19" s="10"/>
      <c r="C19" s="11" t="s">
        <v>21</v>
      </c>
      <c r="D19" s="11">
        <v>6</v>
      </c>
      <c r="E19" s="11">
        <v>0</v>
      </c>
      <c r="F19" s="11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11">
        <v>5</v>
      </c>
      <c r="M19" s="12">
        <f t="shared" si="1"/>
        <v>11</v>
      </c>
      <c r="N19" s="69">
        <f>AVERAGE(M19:M20)</f>
        <v>10.5</v>
      </c>
      <c r="P19" s="10"/>
      <c r="Q19" s="11" t="s">
        <v>21</v>
      </c>
      <c r="R19" s="11">
        <v>2</v>
      </c>
      <c r="S19" s="11">
        <v>0</v>
      </c>
      <c r="T19" s="11">
        <v>0</v>
      </c>
      <c r="U19" s="11">
        <v>0</v>
      </c>
      <c r="V19" s="11">
        <v>0</v>
      </c>
      <c r="W19" s="11">
        <v>0</v>
      </c>
      <c r="X19" s="11">
        <v>0</v>
      </c>
      <c r="Y19" s="11">
        <v>0</v>
      </c>
      <c r="Z19" s="11">
        <v>2</v>
      </c>
      <c r="AA19" s="12">
        <f t="shared" si="0"/>
        <v>4</v>
      </c>
      <c r="AB19" s="69">
        <f>AVERAGE(AA19:AA20)</f>
        <v>5.5</v>
      </c>
      <c r="AD19" s="9"/>
      <c r="AE19" s="9"/>
      <c r="AF19" s="9"/>
      <c r="AG19" s="9"/>
      <c r="AH19" s="9"/>
      <c r="AI19" s="9"/>
      <c r="AJ19" s="9"/>
      <c r="AK19" s="9"/>
    </row>
    <row r="20" spans="2:37" s="1" customFormat="1" x14ac:dyDescent="0.25">
      <c r="B20" s="10"/>
      <c r="C20" s="11"/>
      <c r="D20" s="11">
        <v>5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5</v>
      </c>
      <c r="M20" s="12">
        <f t="shared" si="1"/>
        <v>10</v>
      </c>
      <c r="N20" s="69"/>
      <c r="P20" s="10"/>
      <c r="Q20" s="11"/>
      <c r="R20" s="11">
        <v>4</v>
      </c>
      <c r="S20" s="11">
        <v>0</v>
      </c>
      <c r="T20" s="11">
        <v>0</v>
      </c>
      <c r="U20" s="11">
        <v>0</v>
      </c>
      <c r="V20" s="11">
        <v>0</v>
      </c>
      <c r="W20" s="11">
        <v>0</v>
      </c>
      <c r="X20" s="11">
        <v>0</v>
      </c>
      <c r="Y20" s="11">
        <v>0</v>
      </c>
      <c r="Z20" s="11">
        <v>3</v>
      </c>
      <c r="AA20" s="12">
        <f t="shared" si="0"/>
        <v>7</v>
      </c>
      <c r="AB20" s="69"/>
      <c r="AD20" s="9"/>
      <c r="AE20" s="9"/>
      <c r="AF20" s="9"/>
      <c r="AG20" s="9"/>
      <c r="AH20" s="9"/>
      <c r="AI20" s="9"/>
      <c r="AJ20" s="9"/>
      <c r="AK20" s="9"/>
    </row>
    <row r="21" spans="2:37" s="1" customFormat="1" x14ac:dyDescent="0.25">
      <c r="B21" s="10"/>
      <c r="C21" s="16" t="s">
        <v>56</v>
      </c>
      <c r="D21" s="55"/>
      <c r="E21" s="55"/>
      <c r="F21" s="55"/>
      <c r="G21" s="55"/>
      <c r="H21" s="55"/>
      <c r="I21" s="55"/>
      <c r="J21" s="55"/>
      <c r="K21" s="55"/>
      <c r="L21" s="55"/>
      <c r="M21" s="17"/>
      <c r="N21" s="125">
        <f>AVERAGE(N5:N20)</f>
        <v>10.9375</v>
      </c>
      <c r="O21" s="94"/>
      <c r="P21" s="10"/>
      <c r="Q21" s="16" t="s">
        <v>56</v>
      </c>
      <c r="R21" s="55"/>
      <c r="S21" s="55"/>
      <c r="T21" s="55"/>
      <c r="U21" s="55"/>
      <c r="V21" s="55"/>
      <c r="W21" s="55"/>
      <c r="X21" s="55"/>
      <c r="Y21" s="55"/>
      <c r="Z21" s="55"/>
      <c r="AA21" s="17"/>
      <c r="AB21" s="125">
        <f>AVERAGE(AB5:AB20)</f>
        <v>7.75</v>
      </c>
      <c r="AD21" s="9"/>
      <c r="AE21" s="9"/>
      <c r="AF21" s="9"/>
      <c r="AG21" s="9"/>
      <c r="AH21" s="9"/>
      <c r="AI21" s="9"/>
      <c r="AJ21" s="9"/>
      <c r="AK21" s="9"/>
    </row>
    <row r="22" spans="2:37" s="1" customFormat="1" x14ac:dyDescent="0.25">
      <c r="B22" s="10"/>
      <c r="C22" s="16" t="s">
        <v>22</v>
      </c>
      <c r="D22" s="55"/>
      <c r="E22" s="55"/>
      <c r="F22" s="55"/>
      <c r="G22" s="55"/>
      <c r="H22" s="55"/>
      <c r="I22" s="55"/>
      <c r="J22" s="55"/>
      <c r="K22" s="55"/>
      <c r="L22" s="55"/>
      <c r="M22" s="17"/>
      <c r="N22" s="125">
        <f>_xlfn.STDEV.S(N5:N20)</f>
        <v>3.2341647188372193</v>
      </c>
      <c r="O22" s="94"/>
      <c r="P22" s="10"/>
      <c r="Q22" s="16" t="s">
        <v>22</v>
      </c>
      <c r="R22" s="55"/>
      <c r="S22" s="55"/>
      <c r="T22" s="55"/>
      <c r="U22" s="55"/>
      <c r="V22" s="55"/>
      <c r="W22" s="55"/>
      <c r="X22" s="55"/>
      <c r="Y22" s="55"/>
      <c r="Z22" s="55"/>
      <c r="AA22" s="17"/>
      <c r="AB22" s="125">
        <f>_xlfn.STDEV.S(AB5:AB20)</f>
        <v>1.5811388300841898</v>
      </c>
      <c r="AD22" s="9"/>
      <c r="AE22" s="9"/>
      <c r="AF22" s="9"/>
      <c r="AG22" s="9"/>
      <c r="AH22" s="9"/>
      <c r="AI22" s="9"/>
      <c r="AJ22" s="9"/>
      <c r="AK22" s="9"/>
    </row>
    <row r="23" spans="2:37" s="1" customFormat="1" x14ac:dyDescent="0.25">
      <c r="B23" s="4" t="s">
        <v>4</v>
      </c>
      <c r="C23" s="5" t="s">
        <v>262</v>
      </c>
      <c r="D23" s="46" t="s">
        <v>137</v>
      </c>
      <c r="E23" s="46" t="s">
        <v>138</v>
      </c>
      <c r="F23" s="46" t="s">
        <v>139</v>
      </c>
      <c r="G23" s="5" t="s">
        <v>140</v>
      </c>
      <c r="H23" s="46" t="s">
        <v>140</v>
      </c>
      <c r="I23" s="46" t="s">
        <v>140</v>
      </c>
      <c r="J23" s="5" t="s">
        <v>139</v>
      </c>
      <c r="K23" s="5" t="s">
        <v>138</v>
      </c>
      <c r="L23" s="5" t="s">
        <v>141</v>
      </c>
      <c r="M23" s="40" t="s">
        <v>243</v>
      </c>
      <c r="N23" s="124" t="s">
        <v>205</v>
      </c>
      <c r="P23" s="4" t="s">
        <v>25</v>
      </c>
      <c r="Q23" s="5" t="s">
        <v>262</v>
      </c>
      <c r="R23" s="46" t="s">
        <v>137</v>
      </c>
      <c r="S23" s="46" t="s">
        <v>138</v>
      </c>
      <c r="T23" s="46" t="s">
        <v>139</v>
      </c>
      <c r="U23" s="5" t="s">
        <v>140</v>
      </c>
      <c r="V23" s="46" t="s">
        <v>140</v>
      </c>
      <c r="W23" s="46" t="s">
        <v>140</v>
      </c>
      <c r="X23" s="5" t="s">
        <v>139</v>
      </c>
      <c r="Y23" s="5" t="s">
        <v>138</v>
      </c>
      <c r="Z23" s="5" t="s">
        <v>141</v>
      </c>
      <c r="AA23" s="40" t="s">
        <v>243</v>
      </c>
      <c r="AB23" s="124" t="s">
        <v>205</v>
      </c>
      <c r="AD23" s="9"/>
      <c r="AE23" s="9"/>
      <c r="AF23" s="9"/>
      <c r="AG23" s="9"/>
      <c r="AH23" s="9"/>
      <c r="AI23" s="9"/>
      <c r="AJ23" s="9"/>
      <c r="AK23" s="9"/>
    </row>
    <row r="24" spans="2:37" s="1" customFormat="1" x14ac:dyDescent="0.25">
      <c r="B24" s="43" t="s">
        <v>157</v>
      </c>
      <c r="C24" s="22" t="s">
        <v>5</v>
      </c>
      <c r="D24" s="11">
        <v>10</v>
      </c>
      <c r="E24" s="11">
        <v>3</v>
      </c>
      <c r="F24" s="11">
        <v>1</v>
      </c>
      <c r="G24" s="11">
        <v>0</v>
      </c>
      <c r="H24" s="11">
        <v>0</v>
      </c>
      <c r="I24" s="11">
        <v>0</v>
      </c>
      <c r="J24" s="11">
        <v>2</v>
      </c>
      <c r="K24" s="11">
        <v>5</v>
      </c>
      <c r="L24" s="11">
        <v>16</v>
      </c>
      <c r="M24" s="12">
        <f t="shared" ref="M24:M39" si="2">SUM(D24:L24)</f>
        <v>37</v>
      </c>
      <c r="N24" s="72">
        <f>AVERAGE(M24:M25)</f>
        <v>38</v>
      </c>
      <c r="P24" s="43" t="s">
        <v>157</v>
      </c>
      <c r="Q24" s="22" t="s">
        <v>5</v>
      </c>
      <c r="R24" s="11">
        <v>12</v>
      </c>
      <c r="S24" s="11">
        <v>5</v>
      </c>
      <c r="T24" s="11">
        <v>1</v>
      </c>
      <c r="U24" s="11">
        <v>1</v>
      </c>
      <c r="V24" s="11">
        <v>0</v>
      </c>
      <c r="W24" s="11">
        <v>0</v>
      </c>
      <c r="X24" s="11">
        <v>1</v>
      </c>
      <c r="Y24" s="11">
        <v>6</v>
      </c>
      <c r="Z24" s="11">
        <v>19</v>
      </c>
      <c r="AA24" s="12">
        <f t="shared" ref="AA24:AA39" si="3">SUM(R24:Z24)</f>
        <v>45</v>
      </c>
      <c r="AB24" s="72">
        <f>AVERAGE(AA24:AA25)</f>
        <v>43</v>
      </c>
      <c r="AD24" s="9"/>
      <c r="AE24" s="9"/>
      <c r="AF24" s="9"/>
      <c r="AG24" s="9"/>
      <c r="AH24" s="9"/>
      <c r="AI24" s="9"/>
      <c r="AJ24" s="9"/>
      <c r="AK24" s="9"/>
    </row>
    <row r="25" spans="2:37" s="1" customFormat="1" x14ac:dyDescent="0.25">
      <c r="B25" s="10"/>
      <c r="C25" s="11"/>
      <c r="D25" s="11">
        <v>15</v>
      </c>
      <c r="E25" s="11">
        <v>2</v>
      </c>
      <c r="F25" s="11">
        <v>2</v>
      </c>
      <c r="G25" s="11">
        <v>0</v>
      </c>
      <c r="H25" s="11">
        <v>0</v>
      </c>
      <c r="I25" s="11">
        <v>0</v>
      </c>
      <c r="J25" s="11">
        <v>1</v>
      </c>
      <c r="K25" s="11">
        <v>4</v>
      </c>
      <c r="L25" s="11">
        <v>15</v>
      </c>
      <c r="M25" s="12">
        <f t="shared" si="2"/>
        <v>39</v>
      </c>
      <c r="N25" s="69"/>
      <c r="P25" s="10"/>
      <c r="Q25" s="11"/>
      <c r="R25" s="11">
        <v>13</v>
      </c>
      <c r="S25" s="11">
        <v>3</v>
      </c>
      <c r="T25" s="11">
        <v>1</v>
      </c>
      <c r="U25" s="11">
        <v>0</v>
      </c>
      <c r="V25" s="11">
        <v>0</v>
      </c>
      <c r="W25" s="11">
        <v>2</v>
      </c>
      <c r="X25" s="11">
        <v>4</v>
      </c>
      <c r="Y25" s="11">
        <v>5</v>
      </c>
      <c r="Z25" s="11">
        <v>13</v>
      </c>
      <c r="AA25" s="12">
        <f t="shared" si="3"/>
        <v>41</v>
      </c>
      <c r="AB25" s="69"/>
      <c r="AD25" s="9"/>
      <c r="AE25" s="9"/>
      <c r="AF25" s="9"/>
      <c r="AG25" s="9"/>
      <c r="AH25" s="9"/>
      <c r="AI25" s="9"/>
      <c r="AJ25" s="9"/>
      <c r="AK25" s="9"/>
    </row>
    <row r="26" spans="2:37" s="1" customFormat="1" x14ac:dyDescent="0.25">
      <c r="B26" s="10"/>
      <c r="C26" s="11" t="s">
        <v>6</v>
      </c>
      <c r="D26" s="11">
        <v>12</v>
      </c>
      <c r="E26" s="11">
        <v>4</v>
      </c>
      <c r="F26" s="11">
        <v>3</v>
      </c>
      <c r="G26" s="11">
        <v>0</v>
      </c>
      <c r="H26" s="11">
        <v>0</v>
      </c>
      <c r="I26" s="11">
        <v>0</v>
      </c>
      <c r="J26" s="11">
        <v>1</v>
      </c>
      <c r="K26" s="11">
        <v>2</v>
      </c>
      <c r="L26" s="11">
        <v>12</v>
      </c>
      <c r="M26" s="12">
        <f t="shared" si="2"/>
        <v>34</v>
      </c>
      <c r="N26" s="69">
        <f>AVERAGE(M26:M27)</f>
        <v>32.5</v>
      </c>
      <c r="P26" s="10"/>
      <c r="Q26" s="11" t="s">
        <v>6</v>
      </c>
      <c r="R26" s="11">
        <v>20</v>
      </c>
      <c r="S26" s="11">
        <v>2</v>
      </c>
      <c r="T26" s="11">
        <v>2</v>
      </c>
      <c r="U26" s="11">
        <v>2</v>
      </c>
      <c r="V26" s="11">
        <v>0</v>
      </c>
      <c r="W26" s="11">
        <v>0</v>
      </c>
      <c r="X26" s="11">
        <v>3</v>
      </c>
      <c r="Y26" s="11">
        <v>4</v>
      </c>
      <c r="Z26" s="11">
        <v>15</v>
      </c>
      <c r="AA26" s="12">
        <f t="shared" si="3"/>
        <v>48</v>
      </c>
      <c r="AB26" s="69">
        <f>AVERAGE(AA26:AA27)</f>
        <v>44.5</v>
      </c>
      <c r="AD26" s="9"/>
      <c r="AE26" s="9"/>
      <c r="AF26" s="9"/>
      <c r="AG26" s="9"/>
      <c r="AH26" s="9"/>
      <c r="AI26" s="9"/>
      <c r="AJ26" s="9"/>
      <c r="AK26" s="9"/>
    </row>
    <row r="27" spans="2:37" s="1" customFormat="1" x14ac:dyDescent="0.25">
      <c r="B27" s="10"/>
      <c r="C27" s="11"/>
      <c r="D27" s="11">
        <v>9</v>
      </c>
      <c r="E27" s="11">
        <v>5</v>
      </c>
      <c r="F27" s="11">
        <v>2</v>
      </c>
      <c r="G27" s="11">
        <v>2</v>
      </c>
      <c r="H27" s="11">
        <v>0</v>
      </c>
      <c r="I27" s="11">
        <v>2</v>
      </c>
      <c r="J27" s="11">
        <v>0</v>
      </c>
      <c r="K27" s="11">
        <v>1</v>
      </c>
      <c r="L27" s="11">
        <v>10</v>
      </c>
      <c r="M27" s="12">
        <f t="shared" si="2"/>
        <v>31</v>
      </c>
      <c r="N27" s="69"/>
      <c r="P27" s="10"/>
      <c r="Q27" s="11"/>
      <c r="R27" s="11">
        <v>10</v>
      </c>
      <c r="S27" s="11">
        <v>3</v>
      </c>
      <c r="T27" s="11">
        <v>3</v>
      </c>
      <c r="U27" s="11">
        <v>0</v>
      </c>
      <c r="V27" s="11">
        <v>0</v>
      </c>
      <c r="W27" s="11">
        <v>0</v>
      </c>
      <c r="X27" s="11">
        <v>1</v>
      </c>
      <c r="Y27" s="11">
        <v>7</v>
      </c>
      <c r="Z27" s="11">
        <v>17</v>
      </c>
      <c r="AA27" s="12">
        <f t="shared" si="3"/>
        <v>41</v>
      </c>
      <c r="AB27" s="69"/>
    </row>
    <row r="28" spans="2:37" s="1" customFormat="1" x14ac:dyDescent="0.25">
      <c r="B28" s="10"/>
      <c r="C28" s="11" t="s">
        <v>7</v>
      </c>
      <c r="D28" s="11">
        <v>10</v>
      </c>
      <c r="E28" s="11">
        <v>2</v>
      </c>
      <c r="F28" s="11">
        <v>3</v>
      </c>
      <c r="G28" s="11">
        <v>0</v>
      </c>
      <c r="H28" s="11">
        <v>0</v>
      </c>
      <c r="I28" s="11">
        <v>0</v>
      </c>
      <c r="J28" s="11">
        <v>0</v>
      </c>
      <c r="K28" s="11">
        <v>3</v>
      </c>
      <c r="L28" s="11">
        <v>13</v>
      </c>
      <c r="M28" s="12">
        <f t="shared" si="2"/>
        <v>31</v>
      </c>
      <c r="N28" s="69">
        <f>AVERAGE(M28:M29)</f>
        <v>30.5</v>
      </c>
      <c r="P28" s="10"/>
      <c r="Q28" s="11" t="s">
        <v>7</v>
      </c>
      <c r="R28" s="11">
        <v>15</v>
      </c>
      <c r="S28" s="11">
        <v>4</v>
      </c>
      <c r="T28" s="11">
        <v>1</v>
      </c>
      <c r="U28" s="11">
        <v>0</v>
      </c>
      <c r="V28" s="11">
        <v>0</v>
      </c>
      <c r="W28" s="11">
        <v>1</v>
      </c>
      <c r="X28" s="11">
        <v>2</v>
      </c>
      <c r="Y28" s="11">
        <v>6</v>
      </c>
      <c r="Z28" s="11">
        <v>25</v>
      </c>
      <c r="AA28" s="12">
        <f t="shared" si="3"/>
        <v>54</v>
      </c>
      <c r="AB28" s="69">
        <f>AVERAGE(AA28:AA29)</f>
        <v>49.5</v>
      </c>
    </row>
    <row r="29" spans="2:37" s="1" customFormat="1" x14ac:dyDescent="0.25">
      <c r="B29" s="10"/>
      <c r="C29" s="11"/>
      <c r="D29" s="11">
        <v>13</v>
      </c>
      <c r="E29" s="11">
        <v>3</v>
      </c>
      <c r="F29" s="11">
        <v>2</v>
      </c>
      <c r="G29" s="11">
        <v>0</v>
      </c>
      <c r="H29" s="11">
        <v>0</v>
      </c>
      <c r="I29" s="11">
        <v>0</v>
      </c>
      <c r="J29" s="11">
        <v>1</v>
      </c>
      <c r="K29" s="11">
        <v>1</v>
      </c>
      <c r="L29" s="11">
        <v>10</v>
      </c>
      <c r="M29" s="12">
        <f t="shared" si="2"/>
        <v>30</v>
      </c>
      <c r="N29" s="69"/>
      <c r="P29" s="10"/>
      <c r="Q29" s="11"/>
      <c r="R29" s="11">
        <v>12</v>
      </c>
      <c r="S29" s="11">
        <v>3</v>
      </c>
      <c r="T29" s="11">
        <v>2</v>
      </c>
      <c r="U29" s="11">
        <v>2</v>
      </c>
      <c r="V29" s="11">
        <v>0</v>
      </c>
      <c r="W29" s="11">
        <v>0</v>
      </c>
      <c r="X29" s="11">
        <v>4</v>
      </c>
      <c r="Y29" s="11">
        <v>5</v>
      </c>
      <c r="Z29" s="11">
        <v>17</v>
      </c>
      <c r="AA29" s="12">
        <f t="shared" si="3"/>
        <v>45</v>
      </c>
      <c r="AB29" s="69"/>
    </row>
    <row r="30" spans="2:37" s="1" customFormat="1" x14ac:dyDescent="0.25">
      <c r="B30" s="10"/>
      <c r="C30" s="11" t="s">
        <v>8</v>
      </c>
      <c r="D30" s="11">
        <v>12</v>
      </c>
      <c r="E30" s="11">
        <v>4</v>
      </c>
      <c r="F30" s="11">
        <v>3</v>
      </c>
      <c r="G30" s="11">
        <v>1</v>
      </c>
      <c r="H30" s="11">
        <v>0</v>
      </c>
      <c r="I30" s="11">
        <v>0</v>
      </c>
      <c r="J30" s="11">
        <v>2</v>
      </c>
      <c r="K30" s="11">
        <v>5</v>
      </c>
      <c r="L30" s="11">
        <v>11</v>
      </c>
      <c r="M30" s="12">
        <f t="shared" si="2"/>
        <v>38</v>
      </c>
      <c r="N30" s="69">
        <f>AVERAGE(M30:M31)</f>
        <v>36.5</v>
      </c>
      <c r="P30" s="10"/>
      <c r="Q30" s="11" t="s">
        <v>8</v>
      </c>
      <c r="R30" s="11">
        <v>19</v>
      </c>
      <c r="S30" s="11">
        <v>3</v>
      </c>
      <c r="T30" s="11">
        <v>2</v>
      </c>
      <c r="U30" s="11">
        <v>0</v>
      </c>
      <c r="V30" s="11">
        <v>0</v>
      </c>
      <c r="W30" s="11">
        <v>0</v>
      </c>
      <c r="X30" s="11">
        <v>5</v>
      </c>
      <c r="Y30" s="11">
        <v>6</v>
      </c>
      <c r="Z30" s="11">
        <v>17</v>
      </c>
      <c r="AA30" s="12">
        <f t="shared" si="3"/>
        <v>52</v>
      </c>
      <c r="AB30" s="69">
        <f>AVERAGE(AA30:AA31)</f>
        <v>57.5</v>
      </c>
    </row>
    <row r="31" spans="2:37" s="1" customFormat="1" x14ac:dyDescent="0.25">
      <c r="B31" s="10"/>
      <c r="C31" s="11"/>
      <c r="D31" s="11">
        <v>10</v>
      </c>
      <c r="E31" s="11">
        <v>5</v>
      </c>
      <c r="F31" s="11">
        <v>3</v>
      </c>
      <c r="G31" s="11">
        <v>0</v>
      </c>
      <c r="H31" s="11">
        <v>0</v>
      </c>
      <c r="I31" s="11">
        <v>0</v>
      </c>
      <c r="J31" s="11">
        <v>1</v>
      </c>
      <c r="K31" s="11">
        <v>3</v>
      </c>
      <c r="L31" s="11">
        <v>13</v>
      </c>
      <c r="M31" s="12">
        <f t="shared" si="2"/>
        <v>35</v>
      </c>
      <c r="N31" s="69"/>
      <c r="P31" s="10"/>
      <c r="Q31" s="11"/>
      <c r="R31" s="11">
        <v>14</v>
      </c>
      <c r="S31" s="11">
        <v>4</v>
      </c>
      <c r="T31" s="11">
        <v>3</v>
      </c>
      <c r="U31" s="11">
        <v>0</v>
      </c>
      <c r="V31" s="11">
        <v>0</v>
      </c>
      <c r="W31" s="11">
        <v>2</v>
      </c>
      <c r="X31" s="11">
        <v>4</v>
      </c>
      <c r="Y31" s="11">
        <v>6</v>
      </c>
      <c r="Z31" s="11">
        <v>30</v>
      </c>
      <c r="AA31" s="12">
        <f t="shared" si="3"/>
        <v>63</v>
      </c>
      <c r="AB31" s="69"/>
    </row>
    <row r="32" spans="2:37" s="1" customFormat="1" x14ac:dyDescent="0.25">
      <c r="B32" s="10"/>
      <c r="C32" s="11" t="s">
        <v>14</v>
      </c>
      <c r="D32" s="11">
        <v>11</v>
      </c>
      <c r="E32" s="11">
        <v>3</v>
      </c>
      <c r="F32" s="11">
        <v>2</v>
      </c>
      <c r="G32" s="11">
        <v>0</v>
      </c>
      <c r="H32" s="11">
        <v>0</v>
      </c>
      <c r="I32" s="11">
        <v>1</v>
      </c>
      <c r="J32" s="11">
        <v>3</v>
      </c>
      <c r="K32" s="11">
        <v>4</v>
      </c>
      <c r="L32" s="11">
        <v>14</v>
      </c>
      <c r="M32" s="12">
        <f t="shared" si="2"/>
        <v>38</v>
      </c>
      <c r="N32" s="69">
        <f>AVERAGE(M32:M33)</f>
        <v>34.5</v>
      </c>
      <c r="P32" s="10"/>
      <c r="Q32" s="11" t="s">
        <v>14</v>
      </c>
      <c r="R32" s="11">
        <v>20</v>
      </c>
      <c r="S32" s="11">
        <v>4</v>
      </c>
      <c r="T32" s="11">
        <v>2</v>
      </c>
      <c r="U32" s="11">
        <v>0</v>
      </c>
      <c r="V32" s="11">
        <v>0</v>
      </c>
      <c r="W32" s="11">
        <v>0</v>
      </c>
      <c r="X32" s="11">
        <v>6</v>
      </c>
      <c r="Y32" s="11">
        <v>5</v>
      </c>
      <c r="Z32" s="11">
        <v>25</v>
      </c>
      <c r="AA32" s="12">
        <f t="shared" si="3"/>
        <v>62</v>
      </c>
      <c r="AB32" s="69">
        <f>AVERAGE(AA32:AA33)</f>
        <v>60.5</v>
      </c>
    </row>
    <row r="33" spans="2:28" s="1" customFormat="1" x14ac:dyDescent="0.25">
      <c r="B33" s="10"/>
      <c r="C33" s="11"/>
      <c r="D33" s="11">
        <v>5</v>
      </c>
      <c r="E33" s="11">
        <v>4</v>
      </c>
      <c r="F33" s="11">
        <v>3</v>
      </c>
      <c r="G33" s="11">
        <v>0</v>
      </c>
      <c r="H33" s="11">
        <v>0</v>
      </c>
      <c r="I33" s="11">
        <v>0</v>
      </c>
      <c r="J33" s="11">
        <v>2</v>
      </c>
      <c r="K33" s="11">
        <v>2</v>
      </c>
      <c r="L33" s="11">
        <v>15</v>
      </c>
      <c r="M33" s="12">
        <f t="shared" si="2"/>
        <v>31</v>
      </c>
      <c r="N33" s="69"/>
      <c r="P33" s="10"/>
      <c r="Q33" s="11"/>
      <c r="R33" s="11">
        <v>23</v>
      </c>
      <c r="S33" s="11">
        <v>5</v>
      </c>
      <c r="T33" s="11">
        <v>2</v>
      </c>
      <c r="U33" s="11">
        <v>0</v>
      </c>
      <c r="V33" s="11">
        <v>0</v>
      </c>
      <c r="W33" s="11">
        <v>0</v>
      </c>
      <c r="X33" s="11">
        <v>5</v>
      </c>
      <c r="Y33" s="11">
        <v>4</v>
      </c>
      <c r="Z33" s="11">
        <v>20</v>
      </c>
      <c r="AA33" s="12">
        <f t="shared" si="3"/>
        <v>59</v>
      </c>
      <c r="AB33" s="69"/>
    </row>
    <row r="34" spans="2:28" s="1" customFormat="1" x14ac:dyDescent="0.25">
      <c r="B34" s="10"/>
      <c r="C34" s="11" t="s">
        <v>15</v>
      </c>
      <c r="D34" s="11">
        <v>15</v>
      </c>
      <c r="E34" s="11">
        <v>4</v>
      </c>
      <c r="F34" s="11">
        <v>1</v>
      </c>
      <c r="G34" s="11">
        <v>1</v>
      </c>
      <c r="H34" s="11">
        <v>0</v>
      </c>
      <c r="I34" s="11">
        <v>0</v>
      </c>
      <c r="J34" s="11">
        <v>2</v>
      </c>
      <c r="K34" s="11">
        <v>4</v>
      </c>
      <c r="L34" s="11">
        <v>12</v>
      </c>
      <c r="M34" s="12">
        <f t="shared" si="2"/>
        <v>39</v>
      </c>
      <c r="N34" s="69">
        <f>AVERAGE(M34:M35)</f>
        <v>37</v>
      </c>
      <c r="P34" s="10"/>
      <c r="Q34" s="11" t="s">
        <v>15</v>
      </c>
      <c r="R34" s="11">
        <v>15</v>
      </c>
      <c r="S34" s="11">
        <v>2</v>
      </c>
      <c r="T34" s="11">
        <v>4</v>
      </c>
      <c r="U34" s="11">
        <v>0</v>
      </c>
      <c r="V34" s="11">
        <v>0</v>
      </c>
      <c r="W34" s="11">
        <v>1</v>
      </c>
      <c r="X34" s="11">
        <v>6</v>
      </c>
      <c r="Y34" s="11">
        <v>3</v>
      </c>
      <c r="Z34" s="11">
        <v>19</v>
      </c>
      <c r="AA34" s="12">
        <f t="shared" si="3"/>
        <v>50</v>
      </c>
      <c r="AB34" s="69">
        <f>AVERAGE(AA34:AA35)</f>
        <v>46</v>
      </c>
    </row>
    <row r="35" spans="2:28" s="1" customFormat="1" x14ac:dyDescent="0.25">
      <c r="B35" s="10"/>
      <c r="C35" s="11"/>
      <c r="D35" s="11">
        <v>12</v>
      </c>
      <c r="E35" s="11">
        <v>3</v>
      </c>
      <c r="F35" s="11">
        <v>3</v>
      </c>
      <c r="G35" s="11">
        <v>0</v>
      </c>
      <c r="H35" s="11">
        <v>0</v>
      </c>
      <c r="I35" s="11">
        <v>0</v>
      </c>
      <c r="J35" s="11">
        <v>1</v>
      </c>
      <c r="K35" s="11">
        <v>3</v>
      </c>
      <c r="L35" s="11">
        <v>13</v>
      </c>
      <c r="M35" s="12">
        <f t="shared" si="2"/>
        <v>35</v>
      </c>
      <c r="N35" s="69"/>
      <c r="P35" s="10"/>
      <c r="Q35" s="11"/>
      <c r="R35" s="11">
        <v>13</v>
      </c>
      <c r="S35" s="11">
        <v>3</v>
      </c>
      <c r="T35" s="11">
        <v>2</v>
      </c>
      <c r="U35" s="11">
        <v>0</v>
      </c>
      <c r="V35" s="11">
        <v>0</v>
      </c>
      <c r="W35" s="11">
        <v>0</v>
      </c>
      <c r="X35" s="11">
        <v>3</v>
      </c>
      <c r="Y35" s="11">
        <v>3</v>
      </c>
      <c r="Z35" s="11">
        <v>18</v>
      </c>
      <c r="AA35" s="12">
        <f t="shared" si="3"/>
        <v>42</v>
      </c>
      <c r="AB35" s="69"/>
    </row>
    <row r="36" spans="2:28" s="1" customFormat="1" x14ac:dyDescent="0.25">
      <c r="B36" s="10"/>
      <c r="C36" s="11" t="s">
        <v>19</v>
      </c>
      <c r="D36" s="11">
        <v>20</v>
      </c>
      <c r="E36" s="11">
        <v>2</v>
      </c>
      <c r="F36" s="11">
        <v>4</v>
      </c>
      <c r="G36" s="11">
        <v>0</v>
      </c>
      <c r="H36" s="11">
        <v>0</v>
      </c>
      <c r="I36" s="11">
        <v>0</v>
      </c>
      <c r="J36" s="11">
        <v>1</v>
      </c>
      <c r="K36" s="11">
        <v>2</v>
      </c>
      <c r="L36" s="11">
        <v>12</v>
      </c>
      <c r="M36" s="12">
        <f t="shared" si="2"/>
        <v>41</v>
      </c>
      <c r="N36" s="69">
        <f>AVERAGE(M36:M37)</f>
        <v>42</v>
      </c>
      <c r="P36" s="10"/>
      <c r="Q36" s="11" t="s">
        <v>19</v>
      </c>
      <c r="R36" s="11">
        <v>19</v>
      </c>
      <c r="S36" s="11">
        <v>4</v>
      </c>
      <c r="T36" s="11">
        <v>2</v>
      </c>
      <c r="U36" s="11">
        <v>0</v>
      </c>
      <c r="V36" s="11">
        <v>0</v>
      </c>
      <c r="W36" s="11">
        <v>0</v>
      </c>
      <c r="X36" s="11">
        <v>6</v>
      </c>
      <c r="Y36" s="11">
        <v>5</v>
      </c>
      <c r="Z36" s="11">
        <v>17</v>
      </c>
      <c r="AA36" s="12">
        <f t="shared" si="3"/>
        <v>53</v>
      </c>
      <c r="AB36" s="69">
        <f>AVERAGE(AA36:AA37)</f>
        <v>50.5</v>
      </c>
    </row>
    <row r="37" spans="2:28" s="1" customFormat="1" x14ac:dyDescent="0.25">
      <c r="B37" s="10"/>
      <c r="C37" s="11"/>
      <c r="D37" s="11">
        <v>10</v>
      </c>
      <c r="E37" s="11">
        <v>6</v>
      </c>
      <c r="F37" s="11">
        <v>3</v>
      </c>
      <c r="G37" s="11">
        <v>1</v>
      </c>
      <c r="H37" s="11">
        <v>0</v>
      </c>
      <c r="I37" s="11">
        <v>0</v>
      </c>
      <c r="J37" s="11">
        <v>6</v>
      </c>
      <c r="K37" s="11">
        <v>1</v>
      </c>
      <c r="L37" s="11">
        <v>16</v>
      </c>
      <c r="M37" s="12">
        <f t="shared" si="2"/>
        <v>43</v>
      </c>
      <c r="N37" s="69"/>
      <c r="P37" s="10"/>
      <c r="Q37" s="11"/>
      <c r="R37" s="11">
        <v>17</v>
      </c>
      <c r="S37" s="11">
        <v>3</v>
      </c>
      <c r="T37" s="11">
        <v>2</v>
      </c>
      <c r="U37" s="11">
        <v>1</v>
      </c>
      <c r="V37" s="11">
        <v>0</v>
      </c>
      <c r="W37" s="11">
        <v>1</v>
      </c>
      <c r="X37" s="11">
        <v>5</v>
      </c>
      <c r="Y37" s="11">
        <v>3</v>
      </c>
      <c r="Z37" s="11">
        <v>16</v>
      </c>
      <c r="AA37" s="12">
        <f t="shared" si="3"/>
        <v>48</v>
      </c>
      <c r="AB37" s="69"/>
    </row>
    <row r="38" spans="2:28" s="1" customFormat="1" x14ac:dyDescent="0.25">
      <c r="B38" s="10"/>
      <c r="C38" s="11" t="s">
        <v>21</v>
      </c>
      <c r="D38" s="11">
        <v>18</v>
      </c>
      <c r="E38" s="11">
        <v>4</v>
      </c>
      <c r="F38" s="11">
        <v>4</v>
      </c>
      <c r="G38" s="11">
        <v>0</v>
      </c>
      <c r="H38" s="11">
        <v>0</v>
      </c>
      <c r="I38" s="11">
        <v>0</v>
      </c>
      <c r="J38" s="11">
        <v>2</v>
      </c>
      <c r="K38" s="11">
        <v>4</v>
      </c>
      <c r="L38" s="11">
        <v>16</v>
      </c>
      <c r="M38" s="12">
        <f t="shared" si="2"/>
        <v>48</v>
      </c>
      <c r="N38" s="69">
        <f>AVERAGE(M38:M39)</f>
        <v>51</v>
      </c>
      <c r="P38" s="10"/>
      <c r="Q38" s="11" t="s">
        <v>21</v>
      </c>
      <c r="R38" s="11">
        <v>15</v>
      </c>
      <c r="S38" s="11">
        <v>4</v>
      </c>
      <c r="T38" s="11">
        <v>1</v>
      </c>
      <c r="U38" s="11">
        <v>0</v>
      </c>
      <c r="V38" s="11">
        <v>0</v>
      </c>
      <c r="W38" s="11">
        <v>0</v>
      </c>
      <c r="X38" s="11">
        <v>2</v>
      </c>
      <c r="Y38" s="11">
        <v>5</v>
      </c>
      <c r="Z38" s="11">
        <v>18</v>
      </c>
      <c r="AA38" s="12">
        <f t="shared" si="3"/>
        <v>45</v>
      </c>
      <c r="AB38" s="69">
        <f>AVERAGE(AA38:AA39)</f>
        <v>52</v>
      </c>
    </row>
    <row r="39" spans="2:28" s="1" customFormat="1" x14ac:dyDescent="0.25">
      <c r="B39" s="10"/>
      <c r="C39" s="11"/>
      <c r="D39" s="11">
        <v>14</v>
      </c>
      <c r="E39" s="11">
        <v>6</v>
      </c>
      <c r="F39" s="11">
        <v>3</v>
      </c>
      <c r="G39" s="11">
        <v>0</v>
      </c>
      <c r="H39" s="11">
        <v>0</v>
      </c>
      <c r="I39" s="11">
        <v>0</v>
      </c>
      <c r="J39" s="11">
        <v>9</v>
      </c>
      <c r="K39" s="11">
        <v>8</v>
      </c>
      <c r="L39" s="11">
        <v>14</v>
      </c>
      <c r="M39" s="12">
        <f t="shared" si="2"/>
        <v>54</v>
      </c>
      <c r="N39" s="69"/>
      <c r="P39" s="10"/>
      <c r="Q39" s="11"/>
      <c r="R39" s="11">
        <v>13</v>
      </c>
      <c r="S39" s="11">
        <v>7</v>
      </c>
      <c r="T39" s="11">
        <v>3</v>
      </c>
      <c r="U39" s="11">
        <v>0</v>
      </c>
      <c r="V39" s="11">
        <v>1</v>
      </c>
      <c r="W39" s="11">
        <v>0</v>
      </c>
      <c r="X39" s="11">
        <v>8</v>
      </c>
      <c r="Y39" s="11">
        <v>7</v>
      </c>
      <c r="Z39" s="11">
        <v>20</v>
      </c>
      <c r="AA39" s="12">
        <f t="shared" si="3"/>
        <v>59</v>
      </c>
      <c r="AB39" s="69"/>
    </row>
    <row r="40" spans="2:28" s="1" customFormat="1" x14ac:dyDescent="0.25">
      <c r="B40" s="10"/>
      <c r="C40" s="16" t="s">
        <v>56</v>
      </c>
      <c r="D40" s="55"/>
      <c r="E40" s="55"/>
      <c r="F40" s="55"/>
      <c r="G40" s="55"/>
      <c r="H40" s="55"/>
      <c r="I40" s="55"/>
      <c r="J40" s="55"/>
      <c r="K40" s="55"/>
      <c r="L40" s="55"/>
      <c r="M40" s="17"/>
      <c r="N40" s="125">
        <f>AVERAGE(N24:N39)</f>
        <v>37.75</v>
      </c>
      <c r="O40" s="94"/>
      <c r="P40" s="10"/>
      <c r="Q40" s="16" t="s">
        <v>56</v>
      </c>
      <c r="R40" s="55"/>
      <c r="S40" s="55"/>
      <c r="T40" s="55"/>
      <c r="U40" s="55"/>
      <c r="V40" s="55"/>
      <c r="W40" s="55"/>
      <c r="X40" s="55"/>
      <c r="Y40" s="55"/>
      <c r="Z40" s="55"/>
      <c r="AA40" s="17"/>
      <c r="AB40" s="125">
        <f>AVERAGE(AB24:AB39)</f>
        <v>50.4375</v>
      </c>
    </row>
    <row r="41" spans="2:28" s="1" customFormat="1" x14ac:dyDescent="0.25">
      <c r="B41" s="18"/>
      <c r="C41" s="19" t="s">
        <v>22</v>
      </c>
      <c r="D41" s="56"/>
      <c r="E41" s="56"/>
      <c r="F41" s="56"/>
      <c r="G41" s="56"/>
      <c r="H41" s="56"/>
      <c r="I41" s="56"/>
      <c r="J41" s="56"/>
      <c r="K41" s="56"/>
      <c r="L41" s="56"/>
      <c r="M41" s="20"/>
      <c r="N41" s="126">
        <f>_xlfn.STDEV.S(N24:N39)</f>
        <v>6.3975441716780219</v>
      </c>
      <c r="O41" s="94"/>
      <c r="P41" s="18"/>
      <c r="Q41" s="19" t="s">
        <v>22</v>
      </c>
      <c r="R41" s="56"/>
      <c r="S41" s="56"/>
      <c r="T41" s="56"/>
      <c r="U41" s="56"/>
      <c r="V41" s="56"/>
      <c r="W41" s="56"/>
      <c r="X41" s="56"/>
      <c r="Y41" s="56"/>
      <c r="Z41" s="56"/>
      <c r="AA41" s="20"/>
      <c r="AB41" s="126">
        <f>_xlfn.STDEV.S(AB24:AB39)</f>
        <v>6.1495499254591213</v>
      </c>
    </row>
    <row r="42" spans="2:28" s="1" customFormat="1" x14ac:dyDescent="0.25">
      <c r="B42" s="4" t="s">
        <v>4</v>
      </c>
      <c r="C42" s="5" t="s">
        <v>262</v>
      </c>
      <c r="D42" s="46" t="s">
        <v>137</v>
      </c>
      <c r="E42" s="46" t="s">
        <v>138</v>
      </c>
      <c r="F42" s="46" t="s">
        <v>139</v>
      </c>
      <c r="G42" s="5" t="s">
        <v>140</v>
      </c>
      <c r="H42" s="46" t="s">
        <v>140</v>
      </c>
      <c r="I42" s="46" t="s">
        <v>140</v>
      </c>
      <c r="J42" s="5" t="s">
        <v>139</v>
      </c>
      <c r="K42" s="5" t="s">
        <v>138</v>
      </c>
      <c r="L42" s="5" t="s">
        <v>141</v>
      </c>
      <c r="M42" s="40" t="s">
        <v>243</v>
      </c>
      <c r="N42" s="124" t="s">
        <v>205</v>
      </c>
      <c r="P42" s="4" t="s">
        <v>25</v>
      </c>
      <c r="Q42" s="5" t="s">
        <v>262</v>
      </c>
      <c r="R42" s="46" t="s">
        <v>137</v>
      </c>
      <c r="S42" s="46" t="s">
        <v>138</v>
      </c>
      <c r="T42" s="46" t="s">
        <v>139</v>
      </c>
      <c r="U42" s="5" t="s">
        <v>140</v>
      </c>
      <c r="V42" s="46" t="s">
        <v>140</v>
      </c>
      <c r="W42" s="46" t="s">
        <v>140</v>
      </c>
      <c r="X42" s="5" t="s">
        <v>139</v>
      </c>
      <c r="Y42" s="5" t="s">
        <v>138</v>
      </c>
      <c r="Z42" s="5" t="s">
        <v>141</v>
      </c>
      <c r="AA42" s="40" t="s">
        <v>243</v>
      </c>
      <c r="AB42" s="124" t="s">
        <v>205</v>
      </c>
    </row>
    <row r="43" spans="2:28" s="1" customFormat="1" x14ac:dyDescent="0.25">
      <c r="B43" s="43" t="s">
        <v>158</v>
      </c>
      <c r="C43" s="22" t="s">
        <v>5</v>
      </c>
      <c r="D43" s="11">
        <v>22</v>
      </c>
      <c r="E43" s="11">
        <v>7</v>
      </c>
      <c r="F43" s="11">
        <v>2</v>
      </c>
      <c r="G43" s="11">
        <v>1</v>
      </c>
      <c r="H43" s="11">
        <v>0</v>
      </c>
      <c r="I43" s="11">
        <v>0</v>
      </c>
      <c r="J43" s="11">
        <v>10</v>
      </c>
      <c r="K43" s="11">
        <v>7</v>
      </c>
      <c r="L43" s="11">
        <v>40</v>
      </c>
      <c r="M43" s="12">
        <f t="shared" ref="M43:M58" si="4">SUM(D43:L43)</f>
        <v>89</v>
      </c>
      <c r="N43" s="72">
        <f>AVERAGE(M43:M44)</f>
        <v>90</v>
      </c>
      <c r="P43" s="43" t="s">
        <v>158</v>
      </c>
      <c r="Q43" s="22" t="s">
        <v>5</v>
      </c>
      <c r="R43" s="11">
        <v>34</v>
      </c>
      <c r="S43" s="11">
        <v>8</v>
      </c>
      <c r="T43" s="11">
        <v>3</v>
      </c>
      <c r="U43" s="11">
        <v>1</v>
      </c>
      <c r="V43" s="11">
        <v>1</v>
      </c>
      <c r="W43" s="11">
        <v>1</v>
      </c>
      <c r="X43" s="11">
        <v>7</v>
      </c>
      <c r="Y43" s="11">
        <v>15</v>
      </c>
      <c r="Z43" s="11">
        <v>40</v>
      </c>
      <c r="AA43" s="12">
        <f>SUM(R43:Z43)</f>
        <v>110</v>
      </c>
      <c r="AB43" s="72">
        <f>AVERAGE(AA43:AA44)</f>
        <v>105.5</v>
      </c>
    </row>
    <row r="44" spans="2:28" s="1" customFormat="1" x14ac:dyDescent="0.25">
      <c r="B44" s="10"/>
      <c r="C44" s="11"/>
      <c r="D44" s="11">
        <v>24</v>
      </c>
      <c r="E44" s="11">
        <v>8</v>
      </c>
      <c r="F44" s="11">
        <v>3</v>
      </c>
      <c r="G44" s="11">
        <v>3</v>
      </c>
      <c r="H44" s="11">
        <v>1</v>
      </c>
      <c r="I44" s="11">
        <v>2</v>
      </c>
      <c r="J44" s="11">
        <v>9</v>
      </c>
      <c r="K44" s="11">
        <v>11</v>
      </c>
      <c r="L44" s="11">
        <v>30</v>
      </c>
      <c r="M44" s="12">
        <f t="shared" si="4"/>
        <v>91</v>
      </c>
      <c r="N44" s="69"/>
      <c r="P44" s="10"/>
      <c r="Q44" s="11"/>
      <c r="R44" s="11">
        <v>30</v>
      </c>
      <c r="S44" s="11">
        <v>13</v>
      </c>
      <c r="T44" s="11">
        <v>3</v>
      </c>
      <c r="U44" s="11">
        <v>0</v>
      </c>
      <c r="V44" s="11">
        <v>0</v>
      </c>
      <c r="W44" s="11">
        <v>0</v>
      </c>
      <c r="X44" s="11">
        <v>8</v>
      </c>
      <c r="Y44" s="11">
        <v>17</v>
      </c>
      <c r="Z44" s="11">
        <v>30</v>
      </c>
      <c r="AA44" s="12">
        <f t="shared" ref="AA44:AA58" si="5">SUM(R44:Z44)</f>
        <v>101</v>
      </c>
      <c r="AB44" s="69"/>
    </row>
    <row r="45" spans="2:28" s="1" customFormat="1" x14ac:dyDescent="0.25">
      <c r="B45" s="10"/>
      <c r="C45" s="11" t="s">
        <v>6</v>
      </c>
      <c r="D45" s="11">
        <v>23</v>
      </c>
      <c r="E45" s="11">
        <v>12</v>
      </c>
      <c r="F45" s="11">
        <v>4</v>
      </c>
      <c r="G45" s="11">
        <v>0</v>
      </c>
      <c r="H45" s="11">
        <v>0</v>
      </c>
      <c r="I45" s="11">
        <v>2</v>
      </c>
      <c r="J45" s="11">
        <v>6</v>
      </c>
      <c r="K45" s="11">
        <v>9</v>
      </c>
      <c r="L45" s="11">
        <v>20</v>
      </c>
      <c r="M45" s="12">
        <f t="shared" si="4"/>
        <v>76</v>
      </c>
      <c r="N45" s="69">
        <f>AVERAGE(M45:M46)</f>
        <v>76.5</v>
      </c>
      <c r="P45" s="10"/>
      <c r="Q45" s="11" t="s">
        <v>6</v>
      </c>
      <c r="R45" s="11">
        <v>25</v>
      </c>
      <c r="S45" s="11">
        <v>25</v>
      </c>
      <c r="T45" s="11">
        <v>6</v>
      </c>
      <c r="U45" s="11">
        <v>0</v>
      </c>
      <c r="V45" s="11">
        <v>2</v>
      </c>
      <c r="W45" s="11">
        <v>0</v>
      </c>
      <c r="X45" s="11">
        <v>3</v>
      </c>
      <c r="Y45" s="11">
        <v>18</v>
      </c>
      <c r="Z45" s="11">
        <v>20</v>
      </c>
      <c r="AA45" s="12">
        <f t="shared" si="5"/>
        <v>99</v>
      </c>
      <c r="AB45" s="69">
        <f>AVERAGE(AA45:AA46)</f>
        <v>91</v>
      </c>
    </row>
    <row r="46" spans="2:28" s="1" customFormat="1" x14ac:dyDescent="0.25">
      <c r="B46" s="10"/>
      <c r="C46" s="11"/>
      <c r="D46" s="11">
        <v>21</v>
      </c>
      <c r="E46" s="11">
        <v>10</v>
      </c>
      <c r="F46" s="11">
        <v>6</v>
      </c>
      <c r="G46" s="11">
        <v>3</v>
      </c>
      <c r="H46" s="11">
        <v>2</v>
      </c>
      <c r="I46" s="11">
        <v>1</v>
      </c>
      <c r="J46" s="11">
        <v>4</v>
      </c>
      <c r="K46" s="11">
        <v>12</v>
      </c>
      <c r="L46" s="11">
        <v>18</v>
      </c>
      <c r="M46" s="12">
        <f t="shared" si="4"/>
        <v>77</v>
      </c>
      <c r="N46" s="69"/>
      <c r="P46" s="10"/>
      <c r="Q46" s="11"/>
      <c r="R46" s="11">
        <v>25</v>
      </c>
      <c r="S46" s="11">
        <v>12</v>
      </c>
      <c r="T46" s="11">
        <v>4</v>
      </c>
      <c r="U46" s="11">
        <v>1</v>
      </c>
      <c r="V46" s="11">
        <v>0</v>
      </c>
      <c r="W46" s="11">
        <v>0</v>
      </c>
      <c r="X46" s="11">
        <v>4</v>
      </c>
      <c r="Y46" s="11">
        <v>19</v>
      </c>
      <c r="Z46" s="11">
        <v>18</v>
      </c>
      <c r="AA46" s="12">
        <f t="shared" si="5"/>
        <v>83</v>
      </c>
      <c r="AB46" s="69"/>
    </row>
    <row r="47" spans="2:28" s="1" customFormat="1" x14ac:dyDescent="0.25">
      <c r="B47" s="10"/>
      <c r="C47" s="11" t="s">
        <v>7</v>
      </c>
      <c r="D47" s="11">
        <v>19</v>
      </c>
      <c r="E47" s="11">
        <v>15</v>
      </c>
      <c r="F47" s="11">
        <v>6</v>
      </c>
      <c r="G47" s="11">
        <v>2</v>
      </c>
      <c r="H47" s="11">
        <v>0</v>
      </c>
      <c r="I47" s="11">
        <v>0</v>
      </c>
      <c r="J47" s="11">
        <v>6</v>
      </c>
      <c r="K47" s="11">
        <v>9</v>
      </c>
      <c r="L47" s="11">
        <v>23</v>
      </c>
      <c r="M47" s="12">
        <f t="shared" si="4"/>
        <v>80</v>
      </c>
      <c r="N47" s="69">
        <f>AVERAGE(M47:M48)</f>
        <v>74.5</v>
      </c>
      <c r="P47" s="10"/>
      <c r="Q47" s="11" t="s">
        <v>7</v>
      </c>
      <c r="R47" s="11">
        <v>23</v>
      </c>
      <c r="S47" s="11">
        <v>12</v>
      </c>
      <c r="T47" s="11">
        <v>5</v>
      </c>
      <c r="U47" s="11">
        <v>0</v>
      </c>
      <c r="V47" s="11">
        <v>2</v>
      </c>
      <c r="W47" s="11">
        <v>0</v>
      </c>
      <c r="X47" s="11">
        <v>3</v>
      </c>
      <c r="Y47" s="11">
        <v>12</v>
      </c>
      <c r="Z47" s="11">
        <v>23</v>
      </c>
      <c r="AA47" s="12">
        <f t="shared" si="5"/>
        <v>80</v>
      </c>
      <c r="AB47" s="69">
        <f>AVERAGE(AA47:AA48)</f>
        <v>71</v>
      </c>
    </row>
    <row r="48" spans="2:28" s="1" customFormat="1" x14ac:dyDescent="0.25">
      <c r="B48" s="10"/>
      <c r="C48" s="11"/>
      <c r="D48" s="11">
        <v>18</v>
      </c>
      <c r="E48" s="11">
        <v>11</v>
      </c>
      <c r="F48" s="11">
        <v>7</v>
      </c>
      <c r="G48" s="11">
        <v>1</v>
      </c>
      <c r="H48" s="11">
        <v>0</v>
      </c>
      <c r="I48" s="11">
        <v>1</v>
      </c>
      <c r="J48" s="11">
        <v>5</v>
      </c>
      <c r="K48" s="11">
        <v>8</v>
      </c>
      <c r="L48" s="11">
        <v>18</v>
      </c>
      <c r="M48" s="12">
        <f t="shared" si="4"/>
        <v>69</v>
      </c>
      <c r="N48" s="69"/>
      <c r="P48" s="10"/>
      <c r="Q48" s="11"/>
      <c r="R48" s="11">
        <v>23</v>
      </c>
      <c r="S48" s="11">
        <v>10</v>
      </c>
      <c r="T48" s="11">
        <v>4</v>
      </c>
      <c r="U48" s="11">
        <v>1</v>
      </c>
      <c r="V48" s="11">
        <v>0</v>
      </c>
      <c r="W48" s="11">
        <v>1</v>
      </c>
      <c r="X48" s="11">
        <v>2</v>
      </c>
      <c r="Y48" s="11">
        <v>11</v>
      </c>
      <c r="Z48" s="11">
        <v>10</v>
      </c>
      <c r="AA48" s="12">
        <f t="shared" si="5"/>
        <v>62</v>
      </c>
      <c r="AB48" s="69"/>
    </row>
    <row r="49" spans="2:28" s="1" customFormat="1" x14ac:dyDescent="0.25">
      <c r="B49" s="10"/>
      <c r="C49" s="11" t="s">
        <v>8</v>
      </c>
      <c r="D49" s="11">
        <v>20</v>
      </c>
      <c r="E49" s="11">
        <v>9</v>
      </c>
      <c r="F49" s="11">
        <v>3</v>
      </c>
      <c r="G49" s="11">
        <v>3</v>
      </c>
      <c r="H49" s="11">
        <v>1</v>
      </c>
      <c r="I49" s="11">
        <v>1</v>
      </c>
      <c r="J49" s="11">
        <v>9</v>
      </c>
      <c r="K49" s="11">
        <v>6</v>
      </c>
      <c r="L49" s="11">
        <v>9</v>
      </c>
      <c r="M49" s="12">
        <f t="shared" si="4"/>
        <v>61</v>
      </c>
      <c r="N49" s="69">
        <f>AVERAGE(M49:M50)</f>
        <v>66</v>
      </c>
      <c r="P49" s="10"/>
      <c r="Q49" s="11" t="s">
        <v>8</v>
      </c>
      <c r="R49" s="11">
        <v>25</v>
      </c>
      <c r="S49" s="11">
        <v>12</v>
      </c>
      <c r="T49" s="11">
        <v>3</v>
      </c>
      <c r="U49" s="11">
        <v>1</v>
      </c>
      <c r="V49" s="11">
        <v>1</v>
      </c>
      <c r="W49" s="11">
        <v>0</v>
      </c>
      <c r="X49" s="11">
        <v>1</v>
      </c>
      <c r="Y49" s="11">
        <v>13</v>
      </c>
      <c r="Z49" s="11">
        <v>23</v>
      </c>
      <c r="AA49" s="12">
        <f t="shared" si="5"/>
        <v>79</v>
      </c>
      <c r="AB49" s="69">
        <f>AVERAGE(AA49:AA50)</f>
        <v>82.5</v>
      </c>
    </row>
    <row r="50" spans="2:28" s="1" customFormat="1" x14ac:dyDescent="0.25">
      <c r="B50" s="10"/>
      <c r="C50" s="11"/>
      <c r="D50" s="11">
        <v>30</v>
      </c>
      <c r="E50" s="11">
        <v>8</v>
      </c>
      <c r="F50" s="11">
        <v>1</v>
      </c>
      <c r="G50" s="11">
        <v>2</v>
      </c>
      <c r="H50" s="11">
        <v>0</v>
      </c>
      <c r="I50" s="11">
        <v>1</v>
      </c>
      <c r="J50" s="11">
        <v>4</v>
      </c>
      <c r="K50" s="11">
        <v>5</v>
      </c>
      <c r="L50" s="11">
        <v>20</v>
      </c>
      <c r="M50" s="12">
        <f t="shared" si="4"/>
        <v>71</v>
      </c>
      <c r="N50" s="69"/>
      <c r="P50" s="10"/>
      <c r="Q50" s="11"/>
      <c r="R50" s="11">
        <v>19</v>
      </c>
      <c r="S50" s="11">
        <v>13</v>
      </c>
      <c r="T50" s="11">
        <v>3</v>
      </c>
      <c r="U50" s="11">
        <v>0</v>
      </c>
      <c r="V50" s="11">
        <v>3</v>
      </c>
      <c r="W50" s="11">
        <v>2</v>
      </c>
      <c r="X50" s="11">
        <v>4</v>
      </c>
      <c r="Y50" s="11">
        <v>12</v>
      </c>
      <c r="Z50" s="11">
        <v>30</v>
      </c>
      <c r="AA50" s="12">
        <f t="shared" si="5"/>
        <v>86</v>
      </c>
      <c r="AB50" s="69"/>
    </row>
    <row r="51" spans="2:28" s="1" customFormat="1" x14ac:dyDescent="0.25">
      <c r="B51" s="10"/>
      <c r="C51" s="11" t="s">
        <v>14</v>
      </c>
      <c r="D51" s="11">
        <v>40</v>
      </c>
      <c r="E51" s="11">
        <v>6</v>
      </c>
      <c r="F51" s="11">
        <v>2</v>
      </c>
      <c r="G51" s="11">
        <v>1</v>
      </c>
      <c r="H51" s="11">
        <v>0</v>
      </c>
      <c r="I51" s="11">
        <v>0</v>
      </c>
      <c r="J51" s="11">
        <v>3</v>
      </c>
      <c r="K51" s="11">
        <v>3</v>
      </c>
      <c r="L51" s="11">
        <v>16</v>
      </c>
      <c r="M51" s="12">
        <f t="shared" si="4"/>
        <v>71</v>
      </c>
      <c r="N51" s="69">
        <f>AVERAGE(M51:M52)</f>
        <v>75</v>
      </c>
      <c r="P51" s="10"/>
      <c r="Q51" s="11" t="s">
        <v>14</v>
      </c>
      <c r="R51" s="11">
        <v>32</v>
      </c>
      <c r="S51" s="11">
        <v>10</v>
      </c>
      <c r="T51" s="11">
        <v>3</v>
      </c>
      <c r="U51" s="11">
        <v>0</v>
      </c>
      <c r="V51" s="11">
        <v>0</v>
      </c>
      <c r="W51" s="11">
        <v>0</v>
      </c>
      <c r="X51" s="11">
        <v>5</v>
      </c>
      <c r="Y51" s="11">
        <v>14</v>
      </c>
      <c r="Z51" s="11">
        <v>25</v>
      </c>
      <c r="AA51" s="12">
        <f t="shared" si="5"/>
        <v>89</v>
      </c>
      <c r="AB51" s="69">
        <f>AVERAGE(AA51:AA52)</f>
        <v>86</v>
      </c>
    </row>
    <row r="52" spans="2:28" s="1" customFormat="1" x14ac:dyDescent="0.25">
      <c r="B52" s="10"/>
      <c r="C52" s="11"/>
      <c r="D52" s="11">
        <v>38</v>
      </c>
      <c r="E52" s="11">
        <v>6</v>
      </c>
      <c r="F52" s="11">
        <v>1</v>
      </c>
      <c r="G52" s="11">
        <v>1</v>
      </c>
      <c r="H52" s="11">
        <v>1</v>
      </c>
      <c r="I52" s="11">
        <v>1</v>
      </c>
      <c r="J52" s="11">
        <v>4</v>
      </c>
      <c r="K52" s="11">
        <v>9</v>
      </c>
      <c r="L52" s="11">
        <v>18</v>
      </c>
      <c r="M52" s="12">
        <f t="shared" si="4"/>
        <v>79</v>
      </c>
      <c r="N52" s="69"/>
      <c r="P52" s="10"/>
      <c r="Q52" s="11"/>
      <c r="R52" s="11">
        <v>28</v>
      </c>
      <c r="S52" s="11">
        <v>8</v>
      </c>
      <c r="T52" s="11">
        <v>2</v>
      </c>
      <c r="U52" s="11">
        <v>0</v>
      </c>
      <c r="V52" s="11">
        <v>2</v>
      </c>
      <c r="W52" s="11">
        <v>1</v>
      </c>
      <c r="X52" s="11">
        <v>3</v>
      </c>
      <c r="Y52" s="11">
        <v>15</v>
      </c>
      <c r="Z52" s="11">
        <v>24</v>
      </c>
      <c r="AA52" s="12">
        <f t="shared" si="5"/>
        <v>83</v>
      </c>
      <c r="AB52" s="69"/>
    </row>
    <row r="53" spans="2:28" s="1" customFormat="1" x14ac:dyDescent="0.25">
      <c r="B53" s="10"/>
      <c r="C53" s="11" t="s">
        <v>15</v>
      </c>
      <c r="D53" s="11">
        <v>23</v>
      </c>
      <c r="E53" s="11">
        <v>12</v>
      </c>
      <c r="F53" s="11">
        <v>6</v>
      </c>
      <c r="G53" s="11">
        <v>1</v>
      </c>
      <c r="H53" s="11">
        <v>0</v>
      </c>
      <c r="I53" s="11">
        <v>0</v>
      </c>
      <c r="J53" s="11">
        <v>2</v>
      </c>
      <c r="K53" s="11">
        <v>13</v>
      </c>
      <c r="L53" s="11">
        <v>16</v>
      </c>
      <c r="M53" s="12">
        <f t="shared" si="4"/>
        <v>73</v>
      </c>
      <c r="N53" s="69">
        <f>AVERAGE(M53:M54)</f>
        <v>71</v>
      </c>
      <c r="P53" s="10"/>
      <c r="Q53" s="11" t="s">
        <v>15</v>
      </c>
      <c r="R53" s="11">
        <v>28</v>
      </c>
      <c r="S53" s="11">
        <v>14</v>
      </c>
      <c r="T53" s="11">
        <v>5</v>
      </c>
      <c r="U53" s="11">
        <v>0</v>
      </c>
      <c r="V53" s="11">
        <v>3</v>
      </c>
      <c r="W53" s="11">
        <v>0</v>
      </c>
      <c r="X53" s="11">
        <v>5</v>
      </c>
      <c r="Y53" s="11">
        <v>15</v>
      </c>
      <c r="Z53" s="11">
        <v>25</v>
      </c>
      <c r="AA53" s="12">
        <f t="shared" si="5"/>
        <v>95</v>
      </c>
      <c r="AB53" s="69">
        <f>AVERAGE(AA53:AA54)</f>
        <v>82</v>
      </c>
    </row>
    <row r="54" spans="2:28" s="1" customFormat="1" x14ac:dyDescent="0.25">
      <c r="B54" s="10"/>
      <c r="C54" s="11"/>
      <c r="D54" s="11">
        <v>19</v>
      </c>
      <c r="E54" s="11">
        <v>8</v>
      </c>
      <c r="F54" s="11">
        <v>4</v>
      </c>
      <c r="G54" s="11">
        <v>2</v>
      </c>
      <c r="H54" s="11">
        <v>0</v>
      </c>
      <c r="I54" s="11">
        <v>2</v>
      </c>
      <c r="J54" s="11">
        <v>1</v>
      </c>
      <c r="K54" s="11">
        <v>13</v>
      </c>
      <c r="L54" s="11">
        <v>20</v>
      </c>
      <c r="M54" s="12">
        <f t="shared" si="4"/>
        <v>69</v>
      </c>
      <c r="N54" s="69"/>
      <c r="P54" s="10"/>
      <c r="Q54" s="11"/>
      <c r="R54" s="11">
        <v>20</v>
      </c>
      <c r="S54" s="11">
        <v>13</v>
      </c>
      <c r="T54" s="11">
        <v>1</v>
      </c>
      <c r="U54" s="11">
        <v>0</v>
      </c>
      <c r="V54" s="11">
        <v>1</v>
      </c>
      <c r="W54" s="11">
        <v>2</v>
      </c>
      <c r="X54" s="11">
        <v>3</v>
      </c>
      <c r="Y54" s="11">
        <v>10</v>
      </c>
      <c r="Z54" s="11">
        <v>19</v>
      </c>
      <c r="AA54" s="12">
        <f t="shared" si="5"/>
        <v>69</v>
      </c>
      <c r="AB54" s="69"/>
    </row>
    <row r="55" spans="2:28" s="1" customFormat="1" x14ac:dyDescent="0.25">
      <c r="B55" s="10"/>
      <c r="C55" s="11" t="s">
        <v>19</v>
      </c>
      <c r="D55" s="11">
        <v>22</v>
      </c>
      <c r="E55" s="11">
        <v>4</v>
      </c>
      <c r="F55" s="11">
        <v>3</v>
      </c>
      <c r="G55" s="11">
        <v>1</v>
      </c>
      <c r="H55" s="11">
        <v>2</v>
      </c>
      <c r="I55" s="11">
        <v>0</v>
      </c>
      <c r="J55" s="11">
        <v>6</v>
      </c>
      <c r="K55" s="11">
        <v>9</v>
      </c>
      <c r="L55" s="11">
        <v>34</v>
      </c>
      <c r="M55" s="12">
        <f t="shared" si="4"/>
        <v>81</v>
      </c>
      <c r="N55" s="69">
        <f>AVERAGE(M55:M56)</f>
        <v>82</v>
      </c>
      <c r="P55" s="10"/>
      <c r="Q55" s="11" t="s">
        <v>19</v>
      </c>
      <c r="R55" s="11">
        <v>27</v>
      </c>
      <c r="S55" s="11">
        <v>13</v>
      </c>
      <c r="T55" s="11">
        <v>6</v>
      </c>
      <c r="U55" s="11">
        <v>0</v>
      </c>
      <c r="V55" s="11">
        <v>0</v>
      </c>
      <c r="W55" s="11">
        <v>0</v>
      </c>
      <c r="X55" s="11">
        <v>0</v>
      </c>
      <c r="Y55" s="11">
        <v>9</v>
      </c>
      <c r="Z55" s="11">
        <v>29</v>
      </c>
      <c r="AA55" s="12">
        <f t="shared" si="5"/>
        <v>84</v>
      </c>
      <c r="AB55" s="69">
        <f>AVERAGE(AA55:AA56)</f>
        <v>89</v>
      </c>
    </row>
    <row r="56" spans="2:28" s="1" customFormat="1" x14ac:dyDescent="0.25">
      <c r="B56" s="10"/>
      <c r="C56" s="11"/>
      <c r="D56" s="11">
        <v>24</v>
      </c>
      <c r="E56" s="11">
        <v>6</v>
      </c>
      <c r="F56" s="11">
        <v>1</v>
      </c>
      <c r="G56" s="11">
        <v>1</v>
      </c>
      <c r="H56" s="11">
        <v>1</v>
      </c>
      <c r="I56" s="11">
        <v>2</v>
      </c>
      <c r="J56" s="11">
        <v>10</v>
      </c>
      <c r="K56" s="11">
        <v>12</v>
      </c>
      <c r="L56" s="11">
        <v>26</v>
      </c>
      <c r="M56" s="12">
        <f t="shared" si="4"/>
        <v>83</v>
      </c>
      <c r="N56" s="69"/>
      <c r="P56" s="10"/>
      <c r="Q56" s="11"/>
      <c r="R56" s="11">
        <v>21</v>
      </c>
      <c r="S56" s="11">
        <v>12</v>
      </c>
      <c r="T56" s="11">
        <v>3</v>
      </c>
      <c r="U56" s="11">
        <v>0</v>
      </c>
      <c r="V56" s="11">
        <v>2</v>
      </c>
      <c r="W56" s="11">
        <v>1</v>
      </c>
      <c r="X56" s="11">
        <v>9</v>
      </c>
      <c r="Y56" s="11">
        <v>16</v>
      </c>
      <c r="Z56" s="11">
        <v>30</v>
      </c>
      <c r="AA56" s="12">
        <f t="shared" si="5"/>
        <v>94</v>
      </c>
      <c r="AB56" s="69"/>
    </row>
    <row r="57" spans="2:28" s="1" customFormat="1" x14ac:dyDescent="0.25">
      <c r="B57" s="10"/>
      <c r="C57" s="11" t="s">
        <v>21</v>
      </c>
      <c r="D57" s="11">
        <v>19</v>
      </c>
      <c r="E57" s="11">
        <v>5</v>
      </c>
      <c r="F57" s="11">
        <v>2</v>
      </c>
      <c r="G57" s="11">
        <v>1</v>
      </c>
      <c r="H57" s="11">
        <v>0</v>
      </c>
      <c r="I57" s="11">
        <v>0</v>
      </c>
      <c r="J57" s="11">
        <v>8</v>
      </c>
      <c r="K57" s="11">
        <v>9</v>
      </c>
      <c r="L57" s="11">
        <v>21</v>
      </c>
      <c r="M57" s="12">
        <f t="shared" si="4"/>
        <v>65</v>
      </c>
      <c r="N57" s="69">
        <f>AVERAGE(M57:M58)</f>
        <v>65.5</v>
      </c>
      <c r="P57" s="10"/>
      <c r="Q57" s="11" t="s">
        <v>21</v>
      </c>
      <c r="R57" s="11">
        <v>26</v>
      </c>
      <c r="S57" s="11">
        <v>19</v>
      </c>
      <c r="T57" s="11">
        <v>2</v>
      </c>
      <c r="U57" s="11">
        <v>2</v>
      </c>
      <c r="V57" s="11">
        <v>1</v>
      </c>
      <c r="W57" s="11">
        <v>2</v>
      </c>
      <c r="X57" s="11">
        <v>5</v>
      </c>
      <c r="Y57" s="11">
        <v>12</v>
      </c>
      <c r="Z57" s="11">
        <v>40</v>
      </c>
      <c r="AA57" s="12">
        <f t="shared" si="5"/>
        <v>109</v>
      </c>
      <c r="AB57" s="69">
        <f>AVERAGE(AA57:AA58)</f>
        <v>94.5</v>
      </c>
    </row>
    <row r="58" spans="2:28" s="1" customFormat="1" x14ac:dyDescent="0.25">
      <c r="B58" s="10"/>
      <c r="C58" s="11"/>
      <c r="D58" s="11">
        <v>20</v>
      </c>
      <c r="E58" s="11">
        <v>8</v>
      </c>
      <c r="F58" s="11">
        <v>3</v>
      </c>
      <c r="G58" s="11">
        <v>1</v>
      </c>
      <c r="H58" s="11">
        <v>1</v>
      </c>
      <c r="I58" s="11">
        <v>2</v>
      </c>
      <c r="J58" s="11">
        <v>7</v>
      </c>
      <c r="K58" s="11">
        <v>5</v>
      </c>
      <c r="L58" s="11">
        <v>19</v>
      </c>
      <c r="M58" s="12">
        <f t="shared" si="4"/>
        <v>66</v>
      </c>
      <c r="N58" s="69"/>
      <c r="P58" s="10"/>
      <c r="Q58" s="11"/>
      <c r="R58" s="11">
        <v>19</v>
      </c>
      <c r="S58" s="11">
        <v>15</v>
      </c>
      <c r="T58" s="11">
        <v>4</v>
      </c>
      <c r="U58" s="11">
        <v>0</v>
      </c>
      <c r="V58" s="11">
        <v>1</v>
      </c>
      <c r="W58" s="11">
        <v>0</v>
      </c>
      <c r="X58" s="11">
        <v>4</v>
      </c>
      <c r="Y58" s="11">
        <v>13</v>
      </c>
      <c r="Z58" s="11">
        <v>24</v>
      </c>
      <c r="AA58" s="12">
        <f t="shared" si="5"/>
        <v>80</v>
      </c>
      <c r="AB58" s="69"/>
    </row>
    <row r="59" spans="2:28" s="1" customFormat="1" x14ac:dyDescent="0.25">
      <c r="B59" s="10"/>
      <c r="C59" s="16" t="s">
        <v>56</v>
      </c>
      <c r="D59" s="55"/>
      <c r="E59" s="55"/>
      <c r="F59" s="55"/>
      <c r="G59" s="55"/>
      <c r="H59" s="55"/>
      <c r="I59" s="55"/>
      <c r="J59" s="55"/>
      <c r="K59" s="55"/>
      <c r="L59" s="55"/>
      <c r="M59" s="17"/>
      <c r="N59" s="125">
        <f>AVERAGE(N43:N58)</f>
        <v>75.0625</v>
      </c>
      <c r="O59" s="94"/>
      <c r="P59" s="10"/>
      <c r="Q59" s="16" t="s">
        <v>56</v>
      </c>
      <c r="R59" s="55"/>
      <c r="S59" s="55"/>
      <c r="T59" s="55"/>
      <c r="U59" s="55"/>
      <c r="V59" s="55"/>
      <c r="W59" s="55"/>
      <c r="X59" s="55"/>
      <c r="Y59" s="55"/>
      <c r="Z59" s="55"/>
      <c r="AA59" s="17"/>
      <c r="AB59" s="125">
        <f>AVERAGE(AB43:AB58)</f>
        <v>87.6875</v>
      </c>
    </row>
    <row r="60" spans="2:28" s="1" customFormat="1" x14ac:dyDescent="0.25">
      <c r="B60" s="18"/>
      <c r="C60" s="19" t="s">
        <v>22</v>
      </c>
      <c r="D60" s="56"/>
      <c r="E60" s="56"/>
      <c r="F60" s="56"/>
      <c r="G60" s="56"/>
      <c r="H60" s="56"/>
      <c r="I60" s="56"/>
      <c r="J60" s="56"/>
      <c r="K60" s="56"/>
      <c r="L60" s="56"/>
      <c r="M60" s="20"/>
      <c r="N60" s="126">
        <f>_xlfn.STDEV.S(N43:N58)</f>
        <v>8.1391360545383264</v>
      </c>
      <c r="O60" s="94"/>
      <c r="P60" s="18"/>
      <c r="Q60" s="19" t="s">
        <v>22</v>
      </c>
      <c r="R60" s="56"/>
      <c r="S60" s="56"/>
      <c r="T60" s="56"/>
      <c r="U60" s="56"/>
      <c r="V60" s="56"/>
      <c r="W60" s="56"/>
      <c r="X60" s="56"/>
      <c r="Y60" s="56"/>
      <c r="Z60" s="56"/>
      <c r="AA60" s="20"/>
      <c r="AB60" s="126">
        <f>_xlfn.STDEV.S(AB43:AB58)</f>
        <v>10.120479590555831</v>
      </c>
    </row>
    <row r="61" spans="2:28" s="1" customFormat="1" ht="26.25" x14ac:dyDescent="0.25">
      <c r="B61" s="95"/>
    </row>
    <row r="63" spans="2:28" ht="18.75" x14ac:dyDescent="0.3">
      <c r="C63" s="88"/>
      <c r="D63" s="88"/>
      <c r="E63" s="88"/>
      <c r="F63" s="88"/>
      <c r="G63" s="88"/>
    </row>
    <row r="64" spans="2:28" ht="18.75" x14ac:dyDescent="0.3">
      <c r="C64" s="88"/>
      <c r="D64" s="88"/>
      <c r="E64" s="88"/>
      <c r="F64" s="88"/>
      <c r="G64" s="88"/>
    </row>
    <row r="65" spans="3:7" ht="18.75" x14ac:dyDescent="0.3">
      <c r="C65" s="88"/>
      <c r="D65" s="88"/>
      <c r="E65" s="88"/>
      <c r="F65" s="88"/>
      <c r="G65" s="88"/>
    </row>
    <row r="66" spans="3:7" ht="18.75" x14ac:dyDescent="0.3">
      <c r="C66" s="88"/>
      <c r="D66" s="88"/>
      <c r="E66" s="88"/>
      <c r="F66" s="88"/>
    </row>
    <row r="67" spans="3:7" ht="18.75" x14ac:dyDescent="0.3">
      <c r="C67" s="88"/>
      <c r="D67" s="88"/>
      <c r="E67" s="88"/>
      <c r="F67" s="88"/>
      <c r="G67" s="88"/>
    </row>
    <row r="84" spans="2:18" ht="23.25" x14ac:dyDescent="0.35">
      <c r="C84" s="96"/>
      <c r="R84" s="97"/>
    </row>
    <row r="86" spans="2:18" ht="26.25" x14ac:dyDescent="0.4">
      <c r="B86" s="67"/>
    </row>
    <row r="100" spans="15:42" ht="15.75" x14ac:dyDescent="0.25">
      <c r="O100" s="98"/>
    </row>
    <row r="101" spans="15:42" ht="15.75" x14ac:dyDescent="0.25">
      <c r="O101" s="98"/>
    </row>
    <row r="102" spans="15:42" ht="15.75" x14ac:dyDescent="0.25">
      <c r="O102" s="98"/>
    </row>
    <row r="103" spans="15:42" ht="15.75" x14ac:dyDescent="0.25">
      <c r="O103" s="98"/>
    </row>
    <row r="104" spans="15:42" ht="15.75" x14ac:dyDescent="0.25">
      <c r="O104" s="98"/>
    </row>
    <row r="105" spans="15:42" ht="15.75" x14ac:dyDescent="0.25">
      <c r="O105" s="98"/>
    </row>
    <row r="110" spans="15:42" ht="15.75" x14ac:dyDescent="0.25">
      <c r="AP110" s="98"/>
    </row>
    <row r="121" spans="15:15" ht="15.75" x14ac:dyDescent="0.25">
      <c r="O121" s="98"/>
    </row>
    <row r="122" spans="15:15" ht="15.75" x14ac:dyDescent="0.25">
      <c r="O122" s="98"/>
    </row>
    <row r="123" spans="15:15" ht="15.75" x14ac:dyDescent="0.25">
      <c r="O123" s="98"/>
    </row>
    <row r="124" spans="15:15" ht="15.75" x14ac:dyDescent="0.25">
      <c r="O124" s="98"/>
    </row>
    <row r="125" spans="15:15" ht="15.75" x14ac:dyDescent="0.25">
      <c r="O125" s="98"/>
    </row>
    <row r="126" spans="15:15" ht="15.75" x14ac:dyDescent="0.25">
      <c r="O126" s="98"/>
    </row>
    <row r="145" spans="15:15" ht="15.75" x14ac:dyDescent="0.25">
      <c r="O145" s="98"/>
    </row>
    <row r="146" spans="15:15" ht="15.75" x14ac:dyDescent="0.25">
      <c r="O146" s="98"/>
    </row>
    <row r="147" spans="15:15" ht="15.75" x14ac:dyDescent="0.25">
      <c r="O147" s="98"/>
    </row>
    <row r="148" spans="15:15" ht="15.75" x14ac:dyDescent="0.25">
      <c r="O148" s="98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2:F48"/>
  <sheetViews>
    <sheetView zoomScale="60" zoomScaleNormal="60" workbookViewId="0"/>
  </sheetViews>
  <sheetFormatPr defaultColWidth="9.140625" defaultRowHeight="15" x14ac:dyDescent="0.25"/>
  <cols>
    <col min="1" max="1" width="5.140625" style="255" customWidth="1"/>
    <col min="2" max="2" width="21.5703125" style="255" customWidth="1"/>
    <col min="3" max="3" width="12.42578125" style="255" customWidth="1"/>
    <col min="4" max="4" width="43.5703125" style="255" customWidth="1"/>
    <col min="5" max="5" width="9.140625" style="255"/>
    <col min="6" max="6" width="13" style="255" bestFit="1" customWidth="1"/>
    <col min="7" max="7" width="8.5703125" style="255" bestFit="1" customWidth="1"/>
    <col min="8" max="8" width="29.85546875" style="255" bestFit="1" customWidth="1"/>
    <col min="9" max="16384" width="9.140625" style="255"/>
  </cols>
  <sheetData>
    <row r="2" spans="2:5" x14ac:dyDescent="0.25">
      <c r="B2" s="297" t="s">
        <v>254</v>
      </c>
    </row>
    <row r="3" spans="2:5" ht="15.75" thickBot="1" x14ac:dyDescent="0.3">
      <c r="B3" s="359" t="s">
        <v>50</v>
      </c>
      <c r="C3" s="465"/>
    </row>
    <row r="4" spans="2:5" ht="17.25" x14ac:dyDescent="0.25">
      <c r="B4" s="367" t="s">
        <v>4</v>
      </c>
      <c r="C4" s="369" t="s">
        <v>262</v>
      </c>
      <c r="D4" s="370" t="s">
        <v>18</v>
      </c>
      <c r="E4" s="365"/>
    </row>
    <row r="5" spans="2:5" x14ac:dyDescent="0.25">
      <c r="B5" s="398"/>
      <c r="C5" s="118" t="s">
        <v>5</v>
      </c>
      <c r="D5" s="288">
        <v>0.7</v>
      </c>
      <c r="E5" s="298"/>
    </row>
    <row r="6" spans="2:5" x14ac:dyDescent="0.25">
      <c r="B6" s="398"/>
      <c r="C6" s="117" t="s">
        <v>6</v>
      </c>
      <c r="D6" s="286">
        <v>0.75</v>
      </c>
      <c r="E6" s="298"/>
    </row>
    <row r="7" spans="2:5" x14ac:dyDescent="0.25">
      <c r="B7" s="398"/>
      <c r="C7" s="117" t="s">
        <v>7</v>
      </c>
      <c r="D7" s="286">
        <v>0.7</v>
      </c>
      <c r="E7" s="298"/>
    </row>
    <row r="8" spans="2:5" x14ac:dyDescent="0.25">
      <c r="B8" s="398"/>
      <c r="C8" s="117" t="s">
        <v>8</v>
      </c>
      <c r="D8" s="286">
        <v>0.8</v>
      </c>
      <c r="E8" s="298"/>
    </row>
    <row r="9" spans="2:5" x14ac:dyDescent="0.25">
      <c r="B9" s="398"/>
      <c r="C9" s="117" t="s">
        <v>14</v>
      </c>
      <c r="D9" s="286">
        <v>0.7</v>
      </c>
      <c r="E9" s="298"/>
    </row>
    <row r="10" spans="2:5" x14ac:dyDescent="0.25">
      <c r="B10" s="398"/>
      <c r="C10" s="117" t="s">
        <v>15</v>
      </c>
      <c r="D10" s="286">
        <v>0.625</v>
      </c>
      <c r="E10" s="298"/>
    </row>
    <row r="11" spans="2:5" x14ac:dyDescent="0.25">
      <c r="B11" s="398"/>
      <c r="C11" s="117"/>
      <c r="D11" s="286"/>
      <c r="E11" s="298"/>
    </row>
    <row r="12" spans="2:5" x14ac:dyDescent="0.25">
      <c r="B12" s="398"/>
      <c r="C12" s="55" t="s">
        <v>56</v>
      </c>
      <c r="D12" s="141">
        <f>AVERAGE(D5:D10)</f>
        <v>0.71250000000000002</v>
      </c>
      <c r="E12" s="298"/>
    </row>
    <row r="13" spans="2:5" x14ac:dyDescent="0.25">
      <c r="B13" s="398"/>
      <c r="C13" s="117" t="s">
        <v>22</v>
      </c>
      <c r="D13" s="286">
        <f>_xlfn.STDEV.S(D5:D10)</f>
        <v>5.8630196997792886E-2</v>
      </c>
      <c r="E13" s="298"/>
    </row>
    <row r="14" spans="2:5" ht="15.75" thickBot="1" x14ac:dyDescent="0.3">
      <c r="B14" s="399"/>
      <c r="C14" s="142" t="s">
        <v>9</v>
      </c>
      <c r="D14" s="400">
        <f>D13/(SQRT(6))</f>
        <v>2.3935677693908461E-2</v>
      </c>
      <c r="E14" s="298"/>
    </row>
    <row r="15" spans="2:5" ht="17.25" x14ac:dyDescent="0.25">
      <c r="B15" s="367" t="s">
        <v>25</v>
      </c>
      <c r="C15" s="369" t="s">
        <v>262</v>
      </c>
      <c r="D15" s="370" t="s">
        <v>18</v>
      </c>
      <c r="E15" s="298"/>
    </row>
    <row r="16" spans="2:5" x14ac:dyDescent="0.25">
      <c r="B16" s="398"/>
      <c r="C16" s="118" t="s">
        <v>5</v>
      </c>
      <c r="D16" s="288">
        <v>0.8</v>
      </c>
      <c r="E16" s="298"/>
    </row>
    <row r="17" spans="2:6" x14ac:dyDescent="0.25">
      <c r="B17" s="398"/>
      <c r="C17" s="117" t="s">
        <v>6</v>
      </c>
      <c r="D17" s="286">
        <v>0.85</v>
      </c>
      <c r="E17" s="298"/>
    </row>
    <row r="18" spans="2:6" x14ac:dyDescent="0.25">
      <c r="B18" s="398"/>
      <c r="C18" s="117" t="s">
        <v>7</v>
      </c>
      <c r="D18" s="286">
        <v>0.85</v>
      </c>
      <c r="E18" s="298"/>
    </row>
    <row r="19" spans="2:6" x14ac:dyDescent="0.25">
      <c r="B19" s="398"/>
      <c r="C19" s="117" t="s">
        <v>8</v>
      </c>
      <c r="D19" s="286">
        <v>0.8</v>
      </c>
      <c r="E19" s="298"/>
    </row>
    <row r="20" spans="2:6" x14ac:dyDescent="0.25">
      <c r="B20" s="398"/>
      <c r="C20" s="117" t="s">
        <v>14</v>
      </c>
      <c r="D20" s="286">
        <v>0.75</v>
      </c>
      <c r="E20" s="298"/>
    </row>
    <row r="21" spans="2:6" x14ac:dyDescent="0.25">
      <c r="B21" s="398"/>
      <c r="C21" s="117" t="s">
        <v>15</v>
      </c>
      <c r="D21" s="286">
        <v>1</v>
      </c>
      <c r="E21" s="298"/>
    </row>
    <row r="22" spans="2:6" x14ac:dyDescent="0.25">
      <c r="B22" s="398"/>
      <c r="C22" s="117"/>
      <c r="D22" s="286"/>
      <c r="E22" s="298"/>
    </row>
    <row r="23" spans="2:6" x14ac:dyDescent="0.25">
      <c r="B23" s="398"/>
      <c r="C23" s="55" t="s">
        <v>56</v>
      </c>
      <c r="D23" s="141">
        <f>AVERAGE(D16:D21)</f>
        <v>0.84166666666666667</v>
      </c>
      <c r="E23" s="298"/>
    </row>
    <row r="24" spans="2:6" x14ac:dyDescent="0.25">
      <c r="B24" s="398"/>
      <c r="C24" s="117" t="s">
        <v>22</v>
      </c>
      <c r="D24" s="286">
        <f>_xlfn.STDEV.S(D16:D21)</f>
        <v>8.6120071218425423E-2</v>
      </c>
      <c r="E24" s="298"/>
    </row>
    <row r="25" spans="2:6" ht="15.75" thickBot="1" x14ac:dyDescent="0.3">
      <c r="B25" s="399"/>
      <c r="C25" s="142" t="s">
        <v>9</v>
      </c>
      <c r="D25" s="400">
        <f>D24/(SQRT(6))</f>
        <v>3.5158371849548314E-2</v>
      </c>
      <c r="E25" s="365"/>
    </row>
    <row r="26" spans="2:6" x14ac:dyDescent="0.25">
      <c r="B26" s="292"/>
      <c r="C26" s="34"/>
      <c r="D26" s="292"/>
      <c r="E26" s="298"/>
      <c r="F26" s="298"/>
    </row>
    <row r="27" spans="2:6" x14ac:dyDescent="0.25">
      <c r="B27" s="401" t="s">
        <v>253</v>
      </c>
      <c r="C27" s="34"/>
      <c r="D27" s="292"/>
    </row>
    <row r="28" spans="2:6" ht="15.75" thickBot="1" x14ac:dyDescent="0.3">
      <c r="B28" s="402" t="s">
        <v>50</v>
      </c>
      <c r="C28" s="34"/>
      <c r="D28" s="292"/>
    </row>
    <row r="29" spans="2:6" x14ac:dyDescent="0.25">
      <c r="B29" s="403" t="s">
        <v>4</v>
      </c>
      <c r="C29" s="369" t="s">
        <v>262</v>
      </c>
      <c r="D29" s="404" t="s">
        <v>255</v>
      </c>
    </row>
    <row r="30" spans="2:6" x14ac:dyDescent="0.25">
      <c r="B30" s="405"/>
      <c r="C30" s="118" t="s">
        <v>5</v>
      </c>
      <c r="D30" s="288">
        <v>1268.0324999999998</v>
      </c>
    </row>
    <row r="31" spans="2:6" x14ac:dyDescent="0.25">
      <c r="B31" s="398"/>
      <c r="C31" s="117" t="s">
        <v>6</v>
      </c>
      <c r="D31" s="286">
        <v>865.48249999999985</v>
      </c>
    </row>
    <row r="32" spans="2:6" x14ac:dyDescent="0.25">
      <c r="B32" s="398"/>
      <c r="C32" s="117" t="s">
        <v>7</v>
      </c>
      <c r="D32" s="286">
        <v>699.43062499999996</v>
      </c>
    </row>
    <row r="33" spans="2:4" x14ac:dyDescent="0.25">
      <c r="B33" s="398"/>
      <c r="C33" s="117" t="s">
        <v>8</v>
      </c>
      <c r="D33" s="286">
        <v>1514.5943749999999</v>
      </c>
    </row>
    <row r="34" spans="2:4" x14ac:dyDescent="0.25">
      <c r="B34" s="398"/>
      <c r="C34" s="117" t="s">
        <v>14</v>
      </c>
      <c r="D34" s="286">
        <v>1318.3512499999999</v>
      </c>
    </row>
    <row r="35" spans="2:4" x14ac:dyDescent="0.25">
      <c r="B35" s="398"/>
      <c r="C35" s="117"/>
      <c r="D35" s="286"/>
    </row>
    <row r="36" spans="2:4" x14ac:dyDescent="0.25">
      <c r="B36" s="398"/>
      <c r="C36" s="55" t="s">
        <v>56</v>
      </c>
      <c r="D36" s="141">
        <f>AVERAGE(D30:D34)</f>
        <v>1133.1782499999997</v>
      </c>
    </row>
    <row r="37" spans="2:4" x14ac:dyDescent="0.25">
      <c r="B37" s="398"/>
      <c r="C37" s="117" t="s">
        <v>22</v>
      </c>
      <c r="D37" s="286">
        <f>_xlfn.STDEV.S(D30:D34)</f>
        <v>338.28648577916994</v>
      </c>
    </row>
    <row r="38" spans="2:4" x14ac:dyDescent="0.25">
      <c r="B38" s="406"/>
      <c r="C38" s="56" t="s">
        <v>9</v>
      </c>
      <c r="D38" s="407">
        <f>D37/(SQRT(5))</f>
        <v>151.28631561434798</v>
      </c>
    </row>
    <row r="39" spans="2:4" x14ac:dyDescent="0.25">
      <c r="B39" s="408" t="s">
        <v>25</v>
      </c>
      <c r="C39" s="356" t="s">
        <v>262</v>
      </c>
      <c r="D39" s="409" t="s">
        <v>255</v>
      </c>
    </row>
    <row r="40" spans="2:4" x14ac:dyDescent="0.25">
      <c r="B40" s="405"/>
      <c r="C40" s="117" t="s">
        <v>5</v>
      </c>
      <c r="D40" s="288">
        <v>462.9325</v>
      </c>
    </row>
    <row r="41" spans="2:4" x14ac:dyDescent="0.25">
      <c r="B41" s="398"/>
      <c r="C41" s="117" t="s">
        <v>6</v>
      </c>
      <c r="D41" s="286">
        <v>543.44249999999988</v>
      </c>
    </row>
    <row r="42" spans="2:4" x14ac:dyDescent="0.25">
      <c r="B42" s="398"/>
      <c r="C42" s="117" t="s">
        <v>7</v>
      </c>
      <c r="D42" s="286">
        <v>452.86874999999992</v>
      </c>
    </row>
    <row r="43" spans="2:4" x14ac:dyDescent="0.25">
      <c r="B43" s="398"/>
      <c r="C43" s="117" t="s">
        <v>8</v>
      </c>
      <c r="D43" s="286">
        <v>462.93249999999995</v>
      </c>
    </row>
    <row r="44" spans="2:4" x14ac:dyDescent="0.25">
      <c r="B44" s="398"/>
      <c r="C44" s="117" t="s">
        <v>14</v>
      </c>
      <c r="D44" s="286">
        <v>588.72937499999989</v>
      </c>
    </row>
    <row r="45" spans="2:4" x14ac:dyDescent="0.25">
      <c r="B45" s="398"/>
      <c r="C45" s="117"/>
      <c r="D45" s="286"/>
    </row>
    <row r="46" spans="2:4" x14ac:dyDescent="0.25">
      <c r="B46" s="398"/>
      <c r="C46" s="55" t="s">
        <v>56</v>
      </c>
      <c r="D46" s="141">
        <f>AVERAGE(D40:D44)</f>
        <v>502.18112499999989</v>
      </c>
    </row>
    <row r="47" spans="2:4" x14ac:dyDescent="0.25">
      <c r="B47" s="398"/>
      <c r="C47" s="117" t="s">
        <v>22</v>
      </c>
      <c r="D47" s="286">
        <f>_xlfn.STDEV.S(D40:D44)</f>
        <v>60.633571769018815</v>
      </c>
    </row>
    <row r="48" spans="2:4" ht="15.75" thickBot="1" x14ac:dyDescent="0.3">
      <c r="B48" s="399"/>
      <c r="C48" s="142" t="s">
        <v>9</v>
      </c>
      <c r="D48" s="143">
        <f>D47/(SQRT(5))</f>
        <v>27.116157638827648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Table 1-10w systemic data</vt:lpstr>
      <vt:lpstr>Fig 1A &amp; Fig 2</vt:lpstr>
      <vt:lpstr>Fig 1B &amp; Fig 2</vt:lpstr>
      <vt:lpstr>Fig 1C &amp; Fig 2</vt:lpstr>
      <vt:lpstr>Fig 2</vt:lpstr>
      <vt:lpstr>Text-10w whole cornea analytes</vt:lpstr>
      <vt:lpstr>Fig 3A</vt:lpstr>
      <vt:lpstr>Fig 3B</vt:lpstr>
      <vt:lpstr>Table 2-10d systemic data</vt:lpstr>
      <vt:lpstr>Text-10d flow cytometry data</vt:lpstr>
      <vt:lpstr>Fig 4A</vt:lpstr>
      <vt:lpstr>Fig 4D &amp; E</vt:lpstr>
      <vt:lpstr>Fig 4F</vt:lpstr>
      <vt:lpstr>Fig 4G</vt:lpstr>
      <vt:lpstr>Fig 5A</vt:lpstr>
      <vt:lpstr>Fig 5B</vt:lpstr>
      <vt:lpstr>Fig 5C</vt:lpstr>
      <vt:lpstr>Fig 5D</vt:lpstr>
      <vt:lpstr>Fig 6A</vt:lpstr>
      <vt:lpstr>Fig 6C</vt:lpstr>
      <vt:lpstr>Fig 6D</vt:lpstr>
      <vt:lpstr>Fig 6E</vt:lpstr>
      <vt:lpstr>Fig 6G</vt:lpstr>
      <vt:lpstr>Fig 7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Aubrey Hargrave</dc:creator>
  <cp:lastModifiedBy>Aubrey Hargrave</cp:lastModifiedBy>
  <dcterms:created xsi:type="dcterms:W3CDTF">2020-05-22T21:15:57Z</dcterms:created>
  <dcterms:modified xsi:type="dcterms:W3CDTF">2020-08-20T02:37:04Z</dcterms:modified>
</cp:coreProperties>
</file>