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8028"/>
  <workbookPr autoCompressPictures="0"/>
  <bookViews>
    <workbookView xWindow="13900" yWindow="0" windowWidth="25600" windowHeight="16000"/>
  </bookViews>
  <sheets>
    <sheet name="Rabbit wound healing data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K45" i="1" l="1"/>
  <c r="J45" i="1"/>
  <c r="I45" i="1"/>
  <c r="H45" i="1"/>
  <c r="G45" i="1"/>
  <c r="F45" i="1"/>
  <c r="E45" i="1"/>
  <c r="D45" i="1"/>
  <c r="C45" i="1"/>
  <c r="B45" i="1"/>
  <c r="K44" i="1"/>
  <c r="J44" i="1"/>
  <c r="I44" i="1"/>
  <c r="H44" i="1"/>
  <c r="G44" i="1"/>
  <c r="F44" i="1"/>
  <c r="E44" i="1"/>
  <c r="D44" i="1"/>
  <c r="C44" i="1"/>
  <c r="B44" i="1"/>
  <c r="K43" i="1"/>
  <c r="J43" i="1"/>
  <c r="I43" i="1"/>
  <c r="H43" i="1"/>
  <c r="G43" i="1"/>
  <c r="F43" i="1"/>
  <c r="E43" i="1"/>
  <c r="D43" i="1"/>
  <c r="C43" i="1"/>
  <c r="B43" i="1"/>
  <c r="K38" i="1"/>
  <c r="J38" i="1"/>
  <c r="I38" i="1"/>
  <c r="H38" i="1"/>
  <c r="G38" i="1"/>
  <c r="F38" i="1"/>
  <c r="E38" i="1"/>
  <c r="D38" i="1"/>
  <c r="C38" i="1"/>
  <c r="B38" i="1"/>
  <c r="K37" i="1"/>
  <c r="J37" i="1"/>
  <c r="I37" i="1"/>
  <c r="H37" i="1"/>
  <c r="G37" i="1"/>
  <c r="F37" i="1"/>
  <c r="E37" i="1"/>
  <c r="D37" i="1"/>
  <c r="C37" i="1"/>
  <c r="B37" i="1"/>
  <c r="K36" i="1"/>
  <c r="J36" i="1"/>
  <c r="I36" i="1"/>
  <c r="H36" i="1"/>
  <c r="G36" i="1"/>
  <c r="F36" i="1"/>
  <c r="E36" i="1"/>
  <c r="D36" i="1"/>
  <c r="C36" i="1"/>
  <c r="B36" i="1"/>
  <c r="B33" i="1"/>
  <c r="B32" i="1"/>
  <c r="B30" i="1"/>
  <c r="C30" i="1"/>
  <c r="D30" i="1"/>
  <c r="E30" i="1"/>
  <c r="F30" i="1"/>
  <c r="G30" i="1"/>
  <c r="H30" i="1"/>
  <c r="I30" i="1"/>
  <c r="J30" i="1"/>
  <c r="K30" i="1"/>
  <c r="B31" i="1"/>
  <c r="C31" i="1"/>
  <c r="D31" i="1"/>
  <c r="E31" i="1"/>
  <c r="F31" i="1"/>
  <c r="G31" i="1"/>
  <c r="H31" i="1"/>
  <c r="I31" i="1"/>
  <c r="J31" i="1"/>
  <c r="K31" i="1"/>
  <c r="C29" i="1"/>
  <c r="D29" i="1"/>
  <c r="E29" i="1"/>
  <c r="F29" i="1"/>
  <c r="G29" i="1"/>
  <c r="H29" i="1"/>
  <c r="I29" i="1"/>
  <c r="J29" i="1"/>
  <c r="K29" i="1"/>
  <c r="B29" i="1"/>
  <c r="C10" i="1"/>
  <c r="D10" i="1"/>
  <c r="C67" i="1"/>
  <c r="J10" i="1"/>
  <c r="K10" i="1"/>
  <c r="I10" i="1"/>
  <c r="H10" i="1"/>
  <c r="G10" i="1"/>
  <c r="F10" i="1"/>
  <c r="E10" i="1"/>
  <c r="E67" i="1"/>
  <c r="D67" i="1"/>
  <c r="B10" i="1"/>
  <c r="B67" i="1"/>
  <c r="E66" i="1"/>
  <c r="D66" i="1"/>
  <c r="C66" i="1"/>
  <c r="B66" i="1"/>
  <c r="E65" i="1"/>
  <c r="D65" i="1"/>
  <c r="C65" i="1"/>
  <c r="B65" i="1"/>
  <c r="E60" i="1"/>
  <c r="D60" i="1"/>
  <c r="C60" i="1"/>
  <c r="B60" i="1"/>
  <c r="E59" i="1"/>
  <c r="D59" i="1"/>
  <c r="C59" i="1"/>
  <c r="B59" i="1"/>
  <c r="E58" i="1"/>
  <c r="D58" i="1"/>
  <c r="C58" i="1"/>
  <c r="B58" i="1"/>
  <c r="C51" i="1"/>
  <c r="D51" i="1"/>
  <c r="E51" i="1"/>
  <c r="C52" i="1"/>
  <c r="D52" i="1"/>
  <c r="E52" i="1"/>
  <c r="C53" i="1"/>
  <c r="D53" i="1"/>
  <c r="E53" i="1"/>
  <c r="B52" i="1"/>
  <c r="B53" i="1"/>
  <c r="B51" i="1"/>
  <c r="C54" i="1"/>
  <c r="E54" i="1"/>
  <c r="D54" i="1"/>
  <c r="B54" i="1"/>
  <c r="C32" i="1"/>
  <c r="E69" i="1"/>
  <c r="D69" i="1"/>
  <c r="C69" i="1"/>
  <c r="B69" i="1"/>
  <c r="E68" i="1"/>
  <c r="D68" i="1"/>
  <c r="C68" i="1"/>
  <c r="B68" i="1"/>
  <c r="E62" i="1"/>
  <c r="D62" i="1"/>
  <c r="C62" i="1"/>
  <c r="B62" i="1"/>
  <c r="E61" i="1"/>
  <c r="D61" i="1"/>
  <c r="C61" i="1"/>
  <c r="B61" i="1"/>
  <c r="E55" i="1"/>
  <c r="D55" i="1"/>
  <c r="C55" i="1"/>
  <c r="B55" i="1"/>
  <c r="D32" i="1"/>
  <c r="E32" i="1"/>
  <c r="F32" i="1"/>
  <c r="G32" i="1"/>
  <c r="H32" i="1"/>
  <c r="I32" i="1"/>
  <c r="J32" i="1"/>
  <c r="K32" i="1"/>
  <c r="C33" i="1"/>
  <c r="D33" i="1"/>
  <c r="E33" i="1"/>
  <c r="F33" i="1"/>
  <c r="G33" i="1"/>
  <c r="H33" i="1"/>
  <c r="I33" i="1"/>
  <c r="J33" i="1"/>
  <c r="K33" i="1"/>
  <c r="C46" i="1"/>
  <c r="D46" i="1"/>
  <c r="E46" i="1"/>
  <c r="F46" i="1"/>
  <c r="G46" i="1"/>
  <c r="H46" i="1"/>
  <c r="I46" i="1"/>
  <c r="J46" i="1"/>
  <c r="K46" i="1"/>
  <c r="C47" i="1"/>
  <c r="D47" i="1"/>
  <c r="E47" i="1"/>
  <c r="F47" i="1"/>
  <c r="G47" i="1"/>
  <c r="H47" i="1"/>
  <c r="I47" i="1"/>
  <c r="J47" i="1"/>
  <c r="K47" i="1"/>
  <c r="B47" i="1"/>
  <c r="B46" i="1"/>
  <c r="C39" i="1"/>
  <c r="D39" i="1"/>
  <c r="E39" i="1"/>
  <c r="F39" i="1"/>
  <c r="G39" i="1"/>
  <c r="H39" i="1"/>
  <c r="I39" i="1"/>
  <c r="J39" i="1"/>
  <c r="K39" i="1"/>
  <c r="C40" i="1"/>
  <c r="D40" i="1"/>
  <c r="E40" i="1"/>
  <c r="F40" i="1"/>
  <c r="G40" i="1"/>
  <c r="H40" i="1"/>
  <c r="I40" i="1"/>
  <c r="J40" i="1"/>
  <c r="K40" i="1"/>
  <c r="B40" i="1"/>
  <c r="B39" i="1"/>
  <c r="K11" i="1"/>
  <c r="J11" i="1"/>
  <c r="I11" i="1"/>
  <c r="H11" i="1"/>
  <c r="G11" i="1"/>
  <c r="F11" i="1"/>
  <c r="E11" i="1"/>
  <c r="D11" i="1"/>
  <c r="C11" i="1"/>
  <c r="B11" i="1"/>
  <c r="C24" i="1"/>
  <c r="D24" i="1"/>
  <c r="E24" i="1"/>
  <c r="F24" i="1"/>
  <c r="G24" i="1"/>
  <c r="H24" i="1"/>
  <c r="I24" i="1"/>
  <c r="J24" i="1"/>
  <c r="K24" i="1"/>
  <c r="C25" i="1"/>
  <c r="D25" i="1"/>
  <c r="E25" i="1"/>
  <c r="F25" i="1"/>
  <c r="G25" i="1"/>
  <c r="H25" i="1"/>
  <c r="I25" i="1"/>
  <c r="J25" i="1"/>
  <c r="K25" i="1"/>
  <c r="B25" i="1"/>
  <c r="B24" i="1"/>
  <c r="C17" i="1"/>
  <c r="D17" i="1"/>
  <c r="E17" i="1"/>
  <c r="F17" i="1"/>
  <c r="G17" i="1"/>
  <c r="H17" i="1"/>
  <c r="I17" i="1"/>
  <c r="J17" i="1"/>
  <c r="K17" i="1"/>
  <c r="C18" i="1"/>
  <c r="D18" i="1"/>
  <c r="E18" i="1"/>
  <c r="F18" i="1"/>
  <c r="G18" i="1"/>
  <c r="H18" i="1"/>
  <c r="I18" i="1"/>
  <c r="J18" i="1"/>
  <c r="K18" i="1"/>
  <c r="B18" i="1"/>
  <c r="B17" i="1"/>
</calcChain>
</file>

<file path=xl/sharedStrings.xml><?xml version="1.0" encoding="utf-8"?>
<sst xmlns="http://schemas.openxmlformats.org/spreadsheetml/2006/main" count="36" uniqueCount="14">
  <si>
    <t>% Healing</t>
  </si>
  <si>
    <t>Measured Wound Area</t>
  </si>
  <si>
    <t>0.5% SDP</t>
  </si>
  <si>
    <t>Average</t>
  </si>
  <si>
    <t>St Dev</t>
  </si>
  <si>
    <t>2% SDP</t>
  </si>
  <si>
    <t>Control</t>
  </si>
  <si>
    <t>Time point (Hrs.)</t>
  </si>
  <si>
    <t>Rabbit Wound Healing Data</t>
  </si>
  <si>
    <t>0 - 6</t>
  </si>
  <si>
    <t>6 - 12</t>
  </si>
  <si>
    <t>12 - 18</t>
  </si>
  <si>
    <t>18 - 24</t>
  </si>
  <si>
    <t>Normalized Healing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</si>
</sst>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91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23">
    <xf numFmtId="0" fontId="0" fillId="0" borderId="0" xfId="0"/>
    <xf numFmtId="0" fontId="0" fillId="0" borderId="0" xfId="0" applyBorder="1"/>
    <xf numFmtId="0" fontId="0" fillId="0" borderId="0" xfId="0" applyFill="1" applyBorder="1"/>
    <xf numFmtId="0" fontId="0" fillId="0" borderId="0" xfId="0" applyFont="1" applyAlignment="1">
      <alignment vertical="center"/>
    </xf>
    <xf numFmtId="0" fontId="0" fillId="0" borderId="0" xfId="0" applyFont="1"/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center"/>
    </xf>
    <xf numFmtId="0" fontId="0" fillId="0" borderId="0" xfId="0" applyNumberFormat="1" applyFont="1" applyAlignment="1">
      <alignment horizontal="center" vertical="center"/>
    </xf>
    <xf numFmtId="10" fontId="0" fillId="0" borderId="0" xfId="0" applyNumberFormat="1"/>
    <xf numFmtId="164" fontId="0" fillId="0" borderId="0" xfId="0" applyNumberFormat="1" applyBorder="1"/>
    <xf numFmtId="14" fontId="3" fillId="0" borderId="0" xfId="0" applyNumberFormat="1" applyFont="1"/>
    <xf numFmtId="0" fontId="3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Fill="1" applyBorder="1"/>
    <xf numFmtId="1" fontId="3" fillId="0" borderId="0" xfId="0" applyNumberFormat="1" applyFont="1"/>
    <xf numFmtId="0" fontId="3" fillId="0" borderId="0" xfId="0" applyFont="1" applyBorder="1"/>
    <xf numFmtId="164" fontId="3" fillId="0" borderId="0" xfId="0" applyNumberFormat="1" applyFont="1" applyBorder="1"/>
    <xf numFmtId="164" fontId="3" fillId="0" borderId="0" xfId="0" applyNumberFormat="1" applyFont="1"/>
    <xf numFmtId="49" fontId="0" fillId="0" borderId="0" xfId="0" applyNumberFormat="1"/>
    <xf numFmtId="1" fontId="0" fillId="0" borderId="0" xfId="0" applyNumberFormat="1" applyFont="1"/>
    <xf numFmtId="1" fontId="0" fillId="0" borderId="0" xfId="0" applyNumberFormat="1" applyFont="1" applyFill="1"/>
    <xf numFmtId="164" fontId="0" fillId="0" borderId="0" xfId="0" applyNumberFormat="1"/>
    <xf numFmtId="1" fontId="0" fillId="0" borderId="0" xfId="0" applyNumberFormat="1"/>
  </cellXfs>
  <cellStyles count="9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Corneal Wound Healing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45272965879265"/>
          <c:y val="0.166913946587537"/>
          <c:w val="0.81691447944007"/>
          <c:h val="0.657468048318886"/>
        </c:manualLayout>
      </c:layout>
      <c:scatterChart>
        <c:scatterStyle val="lineMarker"/>
        <c:varyColors val="0"/>
        <c:ser>
          <c:idx val="0"/>
          <c:order val="0"/>
          <c:tx>
            <c:strRef>
              <c:f>'Rabbit wound healing data'!$A$6</c:f>
              <c:strCache>
                <c:ptCount val="1"/>
                <c:pt idx="0">
                  <c:v>Control</c:v>
                </c:pt>
              </c:strCache>
            </c:strRef>
          </c:tx>
          <c:spPr>
            <a:ln w="25400">
              <a:solidFill>
                <a:schemeClr val="tx1"/>
              </a:solidFill>
            </a:ln>
          </c:spPr>
          <c:marker>
            <c:symbol val="diamond"/>
            <c:size val="9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'Rabbit wound healing data'!$B$33:$K$33</c:f>
                <c:numCache>
                  <c:formatCode>General</c:formatCode>
                  <c:ptCount val="10"/>
                  <c:pt idx="0">
                    <c:v>0.0</c:v>
                  </c:pt>
                  <c:pt idx="1">
                    <c:v>3.9705251601691</c:v>
                  </c:pt>
                  <c:pt idx="2">
                    <c:v>4.812884620531568</c:v>
                  </c:pt>
                  <c:pt idx="3">
                    <c:v>1.393905660058863</c:v>
                  </c:pt>
                  <c:pt idx="4">
                    <c:v>3.991628909200301</c:v>
                  </c:pt>
                  <c:pt idx="5">
                    <c:v>5.244108633307785</c:v>
                  </c:pt>
                  <c:pt idx="6">
                    <c:v>4.221816535811059</c:v>
                  </c:pt>
                  <c:pt idx="7">
                    <c:v>4.278383662765574</c:v>
                  </c:pt>
                  <c:pt idx="8">
                    <c:v>1.869992948070632</c:v>
                  </c:pt>
                  <c:pt idx="9">
                    <c:v>0.34444391837711</c:v>
                  </c:pt>
                </c:numCache>
              </c:numRef>
            </c:plus>
            <c:minus>
              <c:numRef>
                <c:f>'Rabbit wound healing data'!$B$33:$K$33</c:f>
                <c:numCache>
                  <c:formatCode>General</c:formatCode>
                  <c:ptCount val="10"/>
                  <c:pt idx="0">
                    <c:v>0.0</c:v>
                  </c:pt>
                  <c:pt idx="1">
                    <c:v>3.9705251601691</c:v>
                  </c:pt>
                  <c:pt idx="2">
                    <c:v>4.812884620531568</c:v>
                  </c:pt>
                  <c:pt idx="3">
                    <c:v>1.393905660058863</c:v>
                  </c:pt>
                  <c:pt idx="4">
                    <c:v>3.991628909200301</c:v>
                  </c:pt>
                  <c:pt idx="5">
                    <c:v>5.244108633307785</c:v>
                  </c:pt>
                  <c:pt idx="6">
                    <c:v>4.221816535811059</c:v>
                  </c:pt>
                  <c:pt idx="7">
                    <c:v>4.278383662765574</c:v>
                  </c:pt>
                  <c:pt idx="8">
                    <c:v>1.869992948070632</c:v>
                  </c:pt>
                  <c:pt idx="9">
                    <c:v>0.34444391837711</c:v>
                  </c:pt>
                </c:numCache>
              </c:numRef>
            </c:minus>
            <c:spPr>
              <a:ln>
                <a:solidFill>
                  <a:schemeClr val="tx1"/>
                </a:solidFill>
              </a:ln>
            </c:spPr>
          </c:errBars>
          <c:xVal>
            <c:numRef>
              <c:f>'Rabbit wound healing data'!$B$3:$K$3</c:f>
              <c:numCache>
                <c:formatCode>General</c:formatCode>
                <c:ptCount val="10"/>
                <c:pt idx="0">
                  <c:v>0.0</c:v>
                </c:pt>
                <c:pt idx="1">
                  <c:v>6.0</c:v>
                </c:pt>
                <c:pt idx="2">
                  <c:v>12.0</c:v>
                </c:pt>
                <c:pt idx="3">
                  <c:v>18.0</c:v>
                </c:pt>
                <c:pt idx="4">
                  <c:v>24.0</c:v>
                </c:pt>
                <c:pt idx="5">
                  <c:v>30.0</c:v>
                </c:pt>
                <c:pt idx="6">
                  <c:v>36.0</c:v>
                </c:pt>
                <c:pt idx="7">
                  <c:v>42.0</c:v>
                </c:pt>
                <c:pt idx="8">
                  <c:v>48.0</c:v>
                </c:pt>
                <c:pt idx="9">
                  <c:v>54.0</c:v>
                </c:pt>
              </c:numCache>
            </c:numRef>
          </c:xVal>
          <c:yVal>
            <c:numRef>
              <c:f>'Rabbit wound healing data'!$B$32:$K$32</c:f>
              <c:numCache>
                <c:formatCode>0.0</c:formatCode>
                <c:ptCount val="10"/>
                <c:pt idx="0">
                  <c:v>0.0</c:v>
                </c:pt>
                <c:pt idx="1">
                  <c:v>6.955833200225098</c:v>
                </c:pt>
                <c:pt idx="2">
                  <c:v>20.87200079987385</c:v>
                </c:pt>
                <c:pt idx="3">
                  <c:v>42.01232257882356</c:v>
                </c:pt>
                <c:pt idx="4">
                  <c:v>61.38219918882466</c:v>
                </c:pt>
                <c:pt idx="5">
                  <c:v>73.89023099569614</c:v>
                </c:pt>
                <c:pt idx="6">
                  <c:v>84.75926071128498</c:v>
                </c:pt>
                <c:pt idx="7">
                  <c:v>94.80231067379623</c:v>
                </c:pt>
                <c:pt idx="8">
                  <c:v>98.87065222503501</c:v>
                </c:pt>
                <c:pt idx="9">
                  <c:v>99.80113521100425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'Rabbit wound healing data'!$A$13</c:f>
              <c:strCache>
                <c:ptCount val="1"/>
                <c:pt idx="0">
                  <c:v>0.5% SDP</c:v>
                </c:pt>
              </c:strCache>
            </c:strRef>
          </c:tx>
          <c:spPr>
            <a:ln w="25400">
              <a:solidFill>
                <a:srgbClr val="0000FF"/>
              </a:solidFill>
            </a:ln>
          </c:spPr>
          <c:marker>
            <c:spPr>
              <a:solidFill>
                <a:srgbClr val="0000FF"/>
              </a:solidFill>
              <a:ln>
                <a:solidFill>
                  <a:srgbClr val="0000FF"/>
                </a:solidFill>
              </a:ln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'Rabbit wound healing data'!$B$40:$K$40</c:f>
                <c:numCache>
                  <c:formatCode>General</c:formatCode>
                  <c:ptCount val="10"/>
                  <c:pt idx="0">
                    <c:v>0.0</c:v>
                  </c:pt>
                  <c:pt idx="1">
                    <c:v>3.327946134306973</c:v>
                  </c:pt>
                  <c:pt idx="2">
                    <c:v>3.937634546345436</c:v>
                  </c:pt>
                  <c:pt idx="3">
                    <c:v>2.684242519828513</c:v>
                  </c:pt>
                  <c:pt idx="4">
                    <c:v>2.043624218205884</c:v>
                  </c:pt>
                  <c:pt idx="5">
                    <c:v>3.6772741177177</c:v>
                  </c:pt>
                  <c:pt idx="6">
                    <c:v>3.637997186682065</c:v>
                  </c:pt>
                  <c:pt idx="7">
                    <c:v>1.713787407791046</c:v>
                  </c:pt>
                  <c:pt idx="8">
                    <c:v>0.0</c:v>
                  </c:pt>
                  <c:pt idx="9">
                    <c:v>0.0</c:v>
                  </c:pt>
                </c:numCache>
              </c:numRef>
            </c:plus>
            <c:minus>
              <c:numRef>
                <c:f>'Rabbit wound healing data'!$B$40:$K$40</c:f>
                <c:numCache>
                  <c:formatCode>General</c:formatCode>
                  <c:ptCount val="10"/>
                  <c:pt idx="0">
                    <c:v>0.0</c:v>
                  </c:pt>
                  <c:pt idx="1">
                    <c:v>3.327946134306973</c:v>
                  </c:pt>
                  <c:pt idx="2">
                    <c:v>3.937634546345436</c:v>
                  </c:pt>
                  <c:pt idx="3">
                    <c:v>2.684242519828513</c:v>
                  </c:pt>
                  <c:pt idx="4">
                    <c:v>2.043624218205884</c:v>
                  </c:pt>
                  <c:pt idx="5">
                    <c:v>3.6772741177177</c:v>
                  </c:pt>
                  <c:pt idx="6">
                    <c:v>3.637997186682065</c:v>
                  </c:pt>
                  <c:pt idx="7">
                    <c:v>1.713787407791046</c:v>
                  </c:pt>
                  <c:pt idx="8">
                    <c:v>0.0</c:v>
                  </c:pt>
                  <c:pt idx="9">
                    <c:v>0.0</c:v>
                  </c:pt>
                </c:numCache>
              </c:numRef>
            </c:minus>
            <c:spPr>
              <a:ln>
                <a:solidFill>
                  <a:srgbClr val="0000FF"/>
                </a:solidFill>
              </a:ln>
            </c:spPr>
          </c:errBars>
          <c:xVal>
            <c:numRef>
              <c:f>'Rabbit wound healing data'!$B$3:$K$3</c:f>
              <c:numCache>
                <c:formatCode>General</c:formatCode>
                <c:ptCount val="10"/>
                <c:pt idx="0">
                  <c:v>0.0</c:v>
                </c:pt>
                <c:pt idx="1">
                  <c:v>6.0</c:v>
                </c:pt>
                <c:pt idx="2">
                  <c:v>12.0</c:v>
                </c:pt>
                <c:pt idx="3">
                  <c:v>18.0</c:v>
                </c:pt>
                <c:pt idx="4">
                  <c:v>24.0</c:v>
                </c:pt>
                <c:pt idx="5">
                  <c:v>30.0</c:v>
                </c:pt>
                <c:pt idx="6">
                  <c:v>36.0</c:v>
                </c:pt>
                <c:pt idx="7">
                  <c:v>42.0</c:v>
                </c:pt>
                <c:pt idx="8">
                  <c:v>48.0</c:v>
                </c:pt>
                <c:pt idx="9">
                  <c:v>54.0</c:v>
                </c:pt>
              </c:numCache>
            </c:numRef>
          </c:xVal>
          <c:yVal>
            <c:numRef>
              <c:f>'Rabbit wound healing data'!$B$39:$K$39</c:f>
              <c:numCache>
                <c:formatCode>0.0</c:formatCode>
                <c:ptCount val="10"/>
                <c:pt idx="0" formatCode="General">
                  <c:v>0.0</c:v>
                </c:pt>
                <c:pt idx="1">
                  <c:v>18.85313757455329</c:v>
                </c:pt>
                <c:pt idx="2">
                  <c:v>30.75522627848711</c:v>
                </c:pt>
                <c:pt idx="3">
                  <c:v>49.28298746913227</c:v>
                </c:pt>
                <c:pt idx="4">
                  <c:v>67.31296462931828</c:v>
                </c:pt>
                <c:pt idx="5">
                  <c:v>81.85077140166494</c:v>
                </c:pt>
                <c:pt idx="6">
                  <c:v>91.47875256777895</c:v>
                </c:pt>
                <c:pt idx="7">
                  <c:v>98.23135666242364</c:v>
                </c:pt>
                <c:pt idx="8">
                  <c:v>100.0</c:v>
                </c:pt>
                <c:pt idx="9" formatCode="General">
                  <c:v>100.0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'Rabbit wound healing data'!$A$20</c:f>
              <c:strCache>
                <c:ptCount val="1"/>
                <c:pt idx="0">
                  <c:v>2% SDP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'Rabbit wound healing data'!$B$47:$K$47</c:f>
                <c:numCache>
                  <c:formatCode>General</c:formatCode>
                  <c:ptCount val="10"/>
                  <c:pt idx="0">
                    <c:v>0.0</c:v>
                  </c:pt>
                  <c:pt idx="1">
                    <c:v>5.086959680388795</c:v>
                  </c:pt>
                  <c:pt idx="2">
                    <c:v>9.09087067756903</c:v>
                  </c:pt>
                  <c:pt idx="3">
                    <c:v>7.489516738499281</c:v>
                  </c:pt>
                  <c:pt idx="4">
                    <c:v>8.56373820703901</c:v>
                  </c:pt>
                  <c:pt idx="5">
                    <c:v>4.288673021636865</c:v>
                  </c:pt>
                  <c:pt idx="6">
                    <c:v>3.338413537176117</c:v>
                  </c:pt>
                  <c:pt idx="7">
                    <c:v>2.584019857357815</c:v>
                  </c:pt>
                  <c:pt idx="8">
                    <c:v>0.946201580969537</c:v>
                  </c:pt>
                  <c:pt idx="9">
                    <c:v>0.0</c:v>
                  </c:pt>
                </c:numCache>
              </c:numRef>
            </c:plus>
            <c:minus>
              <c:numRef>
                <c:f>'Rabbit wound healing data'!$B$47:$K$47</c:f>
                <c:numCache>
                  <c:formatCode>General</c:formatCode>
                  <c:ptCount val="10"/>
                  <c:pt idx="0">
                    <c:v>0.0</c:v>
                  </c:pt>
                  <c:pt idx="1">
                    <c:v>5.086959680388795</c:v>
                  </c:pt>
                  <c:pt idx="2">
                    <c:v>9.09087067756903</c:v>
                  </c:pt>
                  <c:pt idx="3">
                    <c:v>7.489516738499281</c:v>
                  </c:pt>
                  <c:pt idx="4">
                    <c:v>8.56373820703901</c:v>
                  </c:pt>
                  <c:pt idx="5">
                    <c:v>4.288673021636865</c:v>
                  </c:pt>
                  <c:pt idx="6">
                    <c:v>3.338413537176117</c:v>
                  </c:pt>
                  <c:pt idx="7">
                    <c:v>2.584019857357815</c:v>
                  </c:pt>
                  <c:pt idx="8">
                    <c:v>0.946201580969537</c:v>
                  </c:pt>
                  <c:pt idx="9">
                    <c:v>0.0</c:v>
                  </c:pt>
                </c:numCache>
              </c:numRef>
            </c:minus>
            <c:spPr>
              <a:ln>
                <a:solidFill>
                  <a:srgbClr val="FF0000"/>
                </a:solidFill>
              </a:ln>
            </c:spPr>
          </c:errBars>
          <c:xVal>
            <c:numRef>
              <c:f>'Rabbit wound healing data'!$B$3:$K$3</c:f>
              <c:numCache>
                <c:formatCode>General</c:formatCode>
                <c:ptCount val="10"/>
                <c:pt idx="0">
                  <c:v>0.0</c:v>
                </c:pt>
                <c:pt idx="1">
                  <c:v>6.0</c:v>
                </c:pt>
                <c:pt idx="2">
                  <c:v>12.0</c:v>
                </c:pt>
                <c:pt idx="3">
                  <c:v>18.0</c:v>
                </c:pt>
                <c:pt idx="4">
                  <c:v>24.0</c:v>
                </c:pt>
                <c:pt idx="5">
                  <c:v>30.0</c:v>
                </c:pt>
                <c:pt idx="6">
                  <c:v>36.0</c:v>
                </c:pt>
                <c:pt idx="7">
                  <c:v>42.0</c:v>
                </c:pt>
                <c:pt idx="8">
                  <c:v>48.0</c:v>
                </c:pt>
                <c:pt idx="9">
                  <c:v>54.0</c:v>
                </c:pt>
              </c:numCache>
            </c:numRef>
          </c:xVal>
          <c:yVal>
            <c:numRef>
              <c:f>'Rabbit wound healing data'!$B$46:$K$46</c:f>
              <c:numCache>
                <c:formatCode>0.0</c:formatCode>
                <c:ptCount val="10"/>
                <c:pt idx="0">
                  <c:v>0.0</c:v>
                </c:pt>
                <c:pt idx="1">
                  <c:v>20.78863778118905</c:v>
                </c:pt>
                <c:pt idx="2">
                  <c:v>29.92513265334982</c:v>
                </c:pt>
                <c:pt idx="3">
                  <c:v>48.72620317718387</c:v>
                </c:pt>
                <c:pt idx="4">
                  <c:v>66.0244282208992</c:v>
                </c:pt>
                <c:pt idx="5">
                  <c:v>78.62370207954383</c:v>
                </c:pt>
                <c:pt idx="6">
                  <c:v>86.61720930455323</c:v>
                </c:pt>
                <c:pt idx="7">
                  <c:v>95.40989615484858</c:v>
                </c:pt>
                <c:pt idx="8">
                  <c:v>99.45371026251958</c:v>
                </c:pt>
                <c:pt idx="9">
                  <c:v>100.0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72040888"/>
        <c:axId val="-2048913432"/>
      </c:scatterChart>
      <c:valAx>
        <c:axId val="-2072040888"/>
        <c:scaling>
          <c:orientation val="minMax"/>
          <c:max val="54.0"/>
          <c:min val="0.0"/>
        </c:scaling>
        <c:delete val="0"/>
        <c:axPos val="b"/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Time (Hours)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200"/>
            </a:pPr>
            <a:endParaRPr lang="en-US"/>
          </a:p>
        </c:txPr>
        <c:crossAx val="-2048913432"/>
        <c:crosses val="autoZero"/>
        <c:crossBetween val="midCat"/>
      </c:valAx>
      <c:valAx>
        <c:axId val="-2048913432"/>
        <c:scaling>
          <c:orientation val="minMax"/>
          <c:max val="100.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1400"/>
                </a:pPr>
                <a:r>
                  <a:rPr lang="en-US" sz="1400"/>
                  <a:t>Wound Closure (%)</a:t>
                </a:r>
              </a:p>
            </c:rich>
          </c:tx>
          <c:layout/>
          <c:overlay val="0"/>
        </c:title>
        <c:numFmt formatCode="0" sourceLinked="0"/>
        <c:majorTickMark val="out"/>
        <c:minorTickMark val="none"/>
        <c:tickLblPos val="nextTo"/>
        <c:txPr>
          <a:bodyPr/>
          <a:lstStyle/>
          <a:p>
            <a:pPr>
              <a:defRPr sz="1200"/>
            </a:pPr>
            <a:endParaRPr lang="en-US"/>
          </a:p>
        </c:txPr>
        <c:crossAx val="-2072040888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688888888888889"/>
          <c:y val="0.525502932311503"/>
          <c:w val="0.275"/>
          <c:h val="0.223474555480268"/>
        </c:manualLayout>
      </c:layout>
      <c:overlay val="0"/>
      <c:txPr>
        <a:bodyPr/>
        <a:lstStyle/>
        <a:p>
          <a:pPr>
            <a:defRPr sz="1200"/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1.0" l="0.75" r="0.75" t="1.0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Relative</a:t>
            </a:r>
            <a:r>
              <a:rPr lang="en-US" baseline="0"/>
              <a:t> Corneal Healing Rate</a:t>
            </a:r>
            <a:endParaRPr lang="en-US"/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209426354793886"/>
          <c:y val="0.161399789601199"/>
          <c:w val="0.76932121352478"/>
          <c:h val="0.694069516614067"/>
        </c:manualLayout>
      </c:layout>
      <c:lineChart>
        <c:grouping val="standard"/>
        <c:varyColors val="0"/>
        <c:ser>
          <c:idx val="0"/>
          <c:order val="0"/>
          <c:tx>
            <c:strRef>
              <c:f>'Rabbit wound healing data'!$A$50</c:f>
              <c:strCache>
                <c:ptCount val="1"/>
                <c:pt idx="0">
                  <c:v>Control</c:v>
                </c:pt>
              </c:strCache>
            </c:strRef>
          </c:tx>
          <c:spPr>
            <a:ln w="25400">
              <a:solidFill>
                <a:schemeClr val="tx1"/>
              </a:solidFill>
            </a:ln>
          </c:spPr>
          <c:marker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'Rabbit wound healing data'!$B$55:$E$55</c:f>
                <c:numCache>
                  <c:formatCode>General</c:formatCode>
                  <c:ptCount val="4"/>
                  <c:pt idx="0">
                    <c:v>0.60360846967111</c:v>
                  </c:pt>
                  <c:pt idx="1">
                    <c:v>0.254696601835612</c:v>
                  </c:pt>
                  <c:pt idx="2">
                    <c:v>0.195752240646736</c:v>
                  </c:pt>
                  <c:pt idx="3">
                    <c:v>0.124793726545255</c:v>
                  </c:pt>
                </c:numCache>
              </c:numRef>
            </c:plus>
            <c:minus>
              <c:numRef>
                <c:f>'Rabbit wound healing data'!$B$55:$E$55</c:f>
                <c:numCache>
                  <c:formatCode>General</c:formatCode>
                  <c:ptCount val="4"/>
                  <c:pt idx="0">
                    <c:v>0.60360846967111</c:v>
                  </c:pt>
                  <c:pt idx="1">
                    <c:v>0.254696601835612</c:v>
                  </c:pt>
                  <c:pt idx="2">
                    <c:v>0.195752240646736</c:v>
                  </c:pt>
                  <c:pt idx="3">
                    <c:v>0.124793726545255</c:v>
                  </c:pt>
                </c:numCache>
              </c:numRef>
            </c:minus>
            <c:spPr>
              <a:ln>
                <a:solidFill>
                  <a:schemeClr val="tx1"/>
                </a:solidFill>
              </a:ln>
            </c:spPr>
          </c:errBars>
          <c:cat>
            <c:strRef>
              <c:f>'Rabbit wound healing data'!$B$50:$E$50</c:f>
              <c:strCache>
                <c:ptCount val="4"/>
                <c:pt idx="0">
                  <c:v>0 - 6</c:v>
                </c:pt>
                <c:pt idx="1">
                  <c:v>6 - 12</c:v>
                </c:pt>
                <c:pt idx="2">
                  <c:v>12 - 18</c:v>
                </c:pt>
                <c:pt idx="3">
                  <c:v>18 - 24</c:v>
                </c:pt>
              </c:strCache>
            </c:strRef>
          </c:cat>
          <c:val>
            <c:numRef>
              <c:f>'Rabbit wound healing data'!$B$54:$E$54</c:f>
              <c:numCache>
                <c:formatCode>0.0</c:formatCode>
                <c:ptCount val="4"/>
                <c:pt idx="0">
                  <c:v>0.999999999999999</c:v>
                </c:pt>
                <c:pt idx="1">
                  <c:v>1.0</c:v>
                </c:pt>
                <c:pt idx="2">
                  <c:v>1.0</c:v>
                </c:pt>
                <c:pt idx="3">
                  <c:v>1.0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'Rabbit wound healing data'!$A$57</c:f>
              <c:strCache>
                <c:ptCount val="1"/>
                <c:pt idx="0">
                  <c:v>0.5% SDP</c:v>
                </c:pt>
              </c:strCache>
            </c:strRef>
          </c:tx>
          <c:spPr>
            <a:ln w="25400">
              <a:solidFill>
                <a:srgbClr val="0000FF"/>
              </a:solidFill>
            </a:ln>
          </c:spPr>
          <c:marker>
            <c:spPr>
              <a:solidFill>
                <a:srgbClr val="0000FF"/>
              </a:solidFill>
              <a:ln>
                <a:solidFill>
                  <a:srgbClr val="0000FF"/>
                </a:solidFill>
              </a:ln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'Rabbit wound healing data'!$B$62:$E$62</c:f>
                <c:numCache>
                  <c:formatCode>General</c:formatCode>
                  <c:ptCount val="4"/>
                  <c:pt idx="0">
                    <c:v>0.497779307197667</c:v>
                  </c:pt>
                  <c:pt idx="1">
                    <c:v>0.340330758374494</c:v>
                  </c:pt>
                  <c:pt idx="2">
                    <c:v>0.133175750296239</c:v>
                  </c:pt>
                  <c:pt idx="3">
                    <c:v>0.028145085880359</c:v>
                  </c:pt>
                </c:numCache>
              </c:numRef>
            </c:plus>
            <c:minus>
              <c:numRef>
                <c:f>'Rabbit wound healing data'!$B$62:$E$62</c:f>
                <c:numCache>
                  <c:formatCode>General</c:formatCode>
                  <c:ptCount val="4"/>
                  <c:pt idx="0">
                    <c:v>0.497779307197667</c:v>
                  </c:pt>
                  <c:pt idx="1">
                    <c:v>0.340330758374494</c:v>
                  </c:pt>
                  <c:pt idx="2">
                    <c:v>0.133175750296239</c:v>
                  </c:pt>
                  <c:pt idx="3">
                    <c:v>0.028145085880359</c:v>
                  </c:pt>
                </c:numCache>
              </c:numRef>
            </c:minus>
            <c:spPr>
              <a:ln>
                <a:solidFill>
                  <a:srgbClr val="0000FF"/>
                </a:solidFill>
              </a:ln>
            </c:spPr>
          </c:errBars>
          <c:cat>
            <c:strRef>
              <c:f>'Rabbit wound healing data'!$B$50:$E$50</c:f>
              <c:strCache>
                <c:ptCount val="4"/>
                <c:pt idx="0">
                  <c:v>0 - 6</c:v>
                </c:pt>
                <c:pt idx="1">
                  <c:v>6 - 12</c:v>
                </c:pt>
                <c:pt idx="2">
                  <c:v>12 - 18</c:v>
                </c:pt>
                <c:pt idx="3">
                  <c:v>18 - 24</c:v>
                </c:pt>
              </c:strCache>
            </c:strRef>
          </c:cat>
          <c:val>
            <c:numRef>
              <c:f>'Rabbit wound healing data'!$B$61:$E$61</c:f>
              <c:numCache>
                <c:formatCode>0.0</c:formatCode>
                <c:ptCount val="4"/>
                <c:pt idx="0">
                  <c:v>2.778710676676981</c:v>
                </c:pt>
                <c:pt idx="1">
                  <c:v>0.896541286210109</c:v>
                </c:pt>
                <c:pt idx="2">
                  <c:v>0.904123844457941</c:v>
                </c:pt>
                <c:pt idx="3">
                  <c:v>0.967162981586149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'Rabbit wound healing data'!$A$64</c:f>
              <c:strCache>
                <c:ptCount val="1"/>
                <c:pt idx="0">
                  <c:v>2% SDP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'Rabbit wound healing data'!$B$69:$E$69</c:f>
                <c:numCache>
                  <c:formatCode>General</c:formatCode>
                  <c:ptCount val="4"/>
                  <c:pt idx="0">
                    <c:v>0.768147688274985</c:v>
                  </c:pt>
                  <c:pt idx="1">
                    <c:v>0.415422946829422</c:v>
                  </c:pt>
                  <c:pt idx="2">
                    <c:v>0.105735473959417</c:v>
                  </c:pt>
                  <c:pt idx="3">
                    <c:v>0.108736840203408</c:v>
                  </c:pt>
                </c:numCache>
              </c:numRef>
            </c:plus>
            <c:minus>
              <c:numRef>
                <c:f>'Rabbit wound healing data'!$B$69:$E$69</c:f>
                <c:numCache>
                  <c:formatCode>General</c:formatCode>
                  <c:ptCount val="4"/>
                  <c:pt idx="0">
                    <c:v>0.768147688274985</c:v>
                  </c:pt>
                  <c:pt idx="1">
                    <c:v>0.415422946829422</c:v>
                  </c:pt>
                  <c:pt idx="2">
                    <c:v>0.105735473959417</c:v>
                  </c:pt>
                  <c:pt idx="3">
                    <c:v>0.108736840203408</c:v>
                  </c:pt>
                </c:numCache>
              </c:numRef>
            </c:minus>
            <c:spPr>
              <a:ln>
                <a:solidFill>
                  <a:srgbClr val="FF0000"/>
                </a:solidFill>
              </a:ln>
            </c:spPr>
          </c:errBars>
          <c:cat>
            <c:strRef>
              <c:f>'Rabbit wound healing data'!$B$50:$E$50</c:f>
              <c:strCache>
                <c:ptCount val="4"/>
                <c:pt idx="0">
                  <c:v>0 - 6</c:v>
                </c:pt>
                <c:pt idx="1">
                  <c:v>6 - 12</c:v>
                </c:pt>
                <c:pt idx="2">
                  <c:v>12 - 18</c:v>
                </c:pt>
                <c:pt idx="3">
                  <c:v>18 - 24</c:v>
                </c:pt>
              </c:strCache>
            </c:strRef>
          </c:cat>
          <c:val>
            <c:numRef>
              <c:f>'Rabbit wound healing data'!$B$68:$E$68</c:f>
              <c:numCache>
                <c:formatCode>0.0</c:formatCode>
                <c:ptCount val="4"/>
                <c:pt idx="0">
                  <c:v>3.060549336763682</c:v>
                </c:pt>
                <c:pt idx="1">
                  <c:v>0.683828477889682</c:v>
                </c:pt>
                <c:pt idx="2">
                  <c:v>0.916391600231467</c:v>
                </c:pt>
                <c:pt idx="3">
                  <c:v>0.926831880934828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2098623544"/>
        <c:axId val="-2047899864"/>
      </c:lineChart>
      <c:catAx>
        <c:axId val="-20986235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Treatment Time Period (Hours)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txPr>
          <a:bodyPr/>
          <a:lstStyle/>
          <a:p>
            <a:pPr>
              <a:defRPr sz="1200"/>
            </a:pPr>
            <a:endParaRPr lang="en-US"/>
          </a:p>
        </c:txPr>
        <c:crossAx val="-2047899864"/>
        <c:crosses val="autoZero"/>
        <c:auto val="1"/>
        <c:lblAlgn val="ctr"/>
        <c:lblOffset val="100"/>
        <c:noMultiLvlLbl val="0"/>
      </c:catAx>
      <c:valAx>
        <c:axId val="-2047899864"/>
        <c:scaling>
          <c:orientation val="minMax"/>
          <c:max val="4.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1400"/>
                </a:pPr>
                <a:r>
                  <a:rPr lang="en-US" sz="1400"/>
                  <a:t>Relative </a:t>
                </a:r>
                <a:r>
                  <a:rPr lang="en-US" sz="1400" baseline="0"/>
                  <a:t>Healing Rate</a:t>
                </a:r>
              </a:p>
              <a:p>
                <a:pPr>
                  <a:defRPr sz="1400"/>
                </a:pPr>
                <a:r>
                  <a:rPr lang="en-US" sz="1400" baseline="0"/>
                  <a:t>(Normalized to Control)</a:t>
                </a:r>
                <a:endParaRPr lang="en-US" sz="1400"/>
              </a:p>
            </c:rich>
          </c:tx>
          <c:layout>
            <c:manualLayout>
              <c:xMode val="edge"/>
              <c:yMode val="edge"/>
              <c:x val="0.0055317276516906"/>
              <c:y val="0.212278045203864"/>
            </c:manualLayout>
          </c:layout>
          <c:overlay val="0"/>
        </c:title>
        <c:numFmt formatCode="0.0" sourceLinked="0"/>
        <c:majorTickMark val="out"/>
        <c:minorTickMark val="none"/>
        <c:tickLblPos val="nextTo"/>
        <c:txPr>
          <a:bodyPr/>
          <a:lstStyle/>
          <a:p>
            <a:pPr>
              <a:defRPr sz="1200"/>
            </a:pPr>
            <a:endParaRPr lang="en-US"/>
          </a:p>
        </c:txPr>
        <c:crossAx val="-20986235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48039138490042"/>
          <c:y val="0.175574877533021"/>
          <c:w val="0.21550021872266"/>
          <c:h val="0.249983377077865"/>
        </c:manualLayout>
      </c:layout>
      <c:overlay val="0"/>
      <c:txPr>
        <a:bodyPr/>
        <a:lstStyle/>
        <a:p>
          <a:pPr>
            <a:defRPr sz="1200"/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1.0" l="0.75" r="0.75" t="1.0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162560</xdr:colOff>
      <xdr:row>27</xdr:row>
      <xdr:rowOff>162560</xdr:rowOff>
    </xdr:from>
    <xdr:to>
      <xdr:col>18</xdr:col>
      <xdr:colOff>40640</xdr:colOff>
      <xdr:row>46</xdr:row>
      <xdr:rowOff>111760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162560</xdr:colOff>
      <xdr:row>49</xdr:row>
      <xdr:rowOff>25400</xdr:rowOff>
    </xdr:from>
    <xdr:to>
      <xdr:col>10</xdr:col>
      <xdr:colOff>111760</xdr:colOff>
      <xdr:row>67</xdr:row>
      <xdr:rowOff>162560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0"/>
  <sheetViews>
    <sheetView tabSelected="1" zoomScale="125" zoomScaleNormal="125" zoomScalePageLayoutView="125" workbookViewId="0">
      <selection activeCell="M15" sqref="M15"/>
    </sheetView>
  </sheetViews>
  <sheetFormatPr baseColWidth="10" defaultColWidth="8.83203125" defaultRowHeight="14" x14ac:dyDescent="0"/>
  <cols>
    <col min="1" max="1" width="22.5" bestFit="1" customWidth="1"/>
    <col min="2" max="2" width="9.1640625" bestFit="1" customWidth="1"/>
    <col min="3" max="10" width="12.33203125" bestFit="1" customWidth="1"/>
    <col min="11" max="11" width="9" bestFit="1" customWidth="1"/>
  </cols>
  <sheetData>
    <row r="1" spans="1:26">
      <c r="A1" s="11" t="s">
        <v>8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26">
      <c r="A3" s="11" t="s">
        <v>7</v>
      </c>
      <c r="B3" s="11">
        <v>0</v>
      </c>
      <c r="C3" s="11">
        <v>6</v>
      </c>
      <c r="D3" s="12">
        <v>12</v>
      </c>
      <c r="E3" s="12">
        <v>18</v>
      </c>
      <c r="F3" s="12">
        <v>24</v>
      </c>
      <c r="G3" s="12">
        <v>30</v>
      </c>
      <c r="H3" s="12">
        <v>36</v>
      </c>
      <c r="I3" s="12">
        <v>42</v>
      </c>
      <c r="J3" s="12">
        <v>48</v>
      </c>
      <c r="K3" s="12">
        <v>54</v>
      </c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>
      <c r="A4" s="11"/>
      <c r="B4" s="11"/>
      <c r="C4" s="11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>
      <c r="A5" s="10" t="s">
        <v>1</v>
      </c>
      <c r="B5" s="11"/>
      <c r="C5" s="11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>
      <c r="A6" s="11" t="s">
        <v>6</v>
      </c>
    </row>
    <row r="7" spans="1:26">
      <c r="A7" s="1">
        <v>1</v>
      </c>
      <c r="B7" s="22">
        <v>1700653</v>
      </c>
      <c r="C7" s="22">
        <v>1504552</v>
      </c>
      <c r="D7" s="22">
        <v>1298580</v>
      </c>
      <c r="E7" s="22">
        <v>963463</v>
      </c>
      <c r="F7" s="22">
        <v>632174</v>
      </c>
      <c r="G7" s="22">
        <v>478386</v>
      </c>
      <c r="H7" s="22">
        <v>310145</v>
      </c>
      <c r="I7" s="22">
        <v>163791</v>
      </c>
      <c r="J7" s="22">
        <v>55915</v>
      </c>
      <c r="K7" s="22">
        <v>10146</v>
      </c>
    </row>
    <row r="8" spans="1:26">
      <c r="A8" s="1">
        <v>2</v>
      </c>
      <c r="B8" s="22">
        <v>1559603</v>
      </c>
      <c r="C8" s="22">
        <v>1482775</v>
      </c>
      <c r="D8" s="22">
        <v>1190614</v>
      </c>
      <c r="E8" s="22">
        <v>902648</v>
      </c>
      <c r="F8" s="22">
        <v>554442</v>
      </c>
      <c r="G8" s="22">
        <v>314355</v>
      </c>
      <c r="H8" s="22">
        <v>162391</v>
      </c>
      <c r="I8" s="22">
        <v>17051</v>
      </c>
      <c r="J8" s="22">
        <v>0</v>
      </c>
      <c r="K8" s="22">
        <v>0</v>
      </c>
    </row>
    <row r="9" spans="1:26">
      <c r="A9" s="1">
        <v>3</v>
      </c>
      <c r="B9" s="22">
        <v>1672845</v>
      </c>
      <c r="C9" s="22">
        <v>1599065</v>
      </c>
      <c r="D9" s="22">
        <v>1416656</v>
      </c>
      <c r="E9" s="22">
        <v>994234</v>
      </c>
      <c r="F9" s="22">
        <v>721511</v>
      </c>
      <c r="G9" s="22">
        <v>502584</v>
      </c>
      <c r="H9" s="22">
        <v>285606</v>
      </c>
      <c r="I9" s="22">
        <v>81446</v>
      </c>
      <c r="J9" s="22">
        <v>1676</v>
      </c>
      <c r="K9" s="22">
        <v>0</v>
      </c>
    </row>
    <row r="10" spans="1:26">
      <c r="A10" s="11" t="s">
        <v>3</v>
      </c>
      <c r="B10" s="14">
        <f t="shared" ref="B10:K10" si="0">AVERAGE(B7:B9)</f>
        <v>1644367</v>
      </c>
      <c r="C10" s="14">
        <f t="shared" si="0"/>
        <v>1528797.3333333333</v>
      </c>
      <c r="D10" s="14">
        <f t="shared" si="0"/>
        <v>1301950</v>
      </c>
      <c r="E10" s="14">
        <f t="shared" si="0"/>
        <v>953448.33333333337</v>
      </c>
      <c r="F10" s="14">
        <f t="shared" si="0"/>
        <v>636042.33333333337</v>
      </c>
      <c r="G10" s="14">
        <f t="shared" si="0"/>
        <v>431775</v>
      </c>
      <c r="H10" s="14">
        <f t="shared" si="0"/>
        <v>252714</v>
      </c>
      <c r="I10" s="14">
        <f t="shared" si="0"/>
        <v>87429.333333333328</v>
      </c>
      <c r="J10" s="14">
        <f t="shared" si="0"/>
        <v>19197</v>
      </c>
      <c r="K10" s="14">
        <f t="shared" si="0"/>
        <v>3382</v>
      </c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spans="1:26">
      <c r="A11" s="11" t="s">
        <v>4</v>
      </c>
      <c r="B11" s="14">
        <f t="shared" ref="B11:K11" si="1">STDEV(B7:B9)</f>
        <v>74712.93721973458</v>
      </c>
      <c r="C11" s="14">
        <f t="shared" si="1"/>
        <v>61820.046638071486</v>
      </c>
      <c r="D11" s="14">
        <f t="shared" si="1"/>
        <v>113058.67554504608</v>
      </c>
      <c r="E11" s="14">
        <f t="shared" si="1"/>
        <v>46607.070389945482</v>
      </c>
      <c r="F11" s="14">
        <f t="shared" si="1"/>
        <v>83601.648861331516</v>
      </c>
      <c r="G11" s="14">
        <f t="shared" si="1"/>
        <v>102405.94758606552</v>
      </c>
      <c r="H11" s="14">
        <f t="shared" si="1"/>
        <v>79178.430629812312</v>
      </c>
      <c r="I11" s="14">
        <f t="shared" si="1"/>
        <v>73552.75051507818</v>
      </c>
      <c r="J11" s="14">
        <f t="shared" si="1"/>
        <v>31809.7608761839</v>
      </c>
      <c r="K11" s="14">
        <f t="shared" si="1"/>
        <v>5857.7958311979428</v>
      </c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6">
      <c r="A12" s="11"/>
      <c r="B12" s="11"/>
      <c r="C12" s="11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>
      <c r="A13" s="13" t="s">
        <v>2</v>
      </c>
      <c r="C13" s="5"/>
      <c r="D13" s="5"/>
      <c r="E13" s="4"/>
      <c r="F13" s="6"/>
      <c r="G13" s="7"/>
      <c r="H13" s="3"/>
    </row>
    <row r="14" spans="1:26">
      <c r="A14" s="1">
        <v>1</v>
      </c>
      <c r="B14" s="22">
        <v>1724510</v>
      </c>
      <c r="C14" s="22">
        <v>1445733</v>
      </c>
      <c r="D14" s="22">
        <v>1156249</v>
      </c>
      <c r="E14" s="22">
        <v>893036</v>
      </c>
      <c r="F14" s="22">
        <v>582746</v>
      </c>
      <c r="G14" s="22">
        <v>347584</v>
      </c>
      <c r="H14" s="22">
        <v>183504</v>
      </c>
      <c r="I14" s="22">
        <v>59008</v>
      </c>
      <c r="J14" s="22">
        <v>0</v>
      </c>
      <c r="K14" s="22">
        <v>0</v>
      </c>
    </row>
    <row r="15" spans="1:26">
      <c r="A15" s="1">
        <v>2</v>
      </c>
      <c r="B15" s="22">
        <v>1712599</v>
      </c>
      <c r="C15" s="22">
        <v>1325970</v>
      </c>
      <c r="D15" s="22">
        <v>1145654</v>
      </c>
      <c r="E15" s="22">
        <v>816279</v>
      </c>
      <c r="F15" s="22">
        <v>519411</v>
      </c>
      <c r="G15" s="22">
        <v>238140</v>
      </c>
      <c r="H15" s="22">
        <v>73993</v>
      </c>
      <c r="I15" s="22">
        <v>0</v>
      </c>
      <c r="J15" s="22">
        <v>0</v>
      </c>
      <c r="K15" s="22">
        <v>0</v>
      </c>
    </row>
    <row r="16" spans="1:26">
      <c r="A16" s="1">
        <v>3</v>
      </c>
      <c r="B16" s="22">
        <v>1672430</v>
      </c>
      <c r="C16" s="22">
        <v>1374432</v>
      </c>
      <c r="D16" s="22">
        <v>1234098</v>
      </c>
      <c r="E16" s="22">
        <v>881420</v>
      </c>
      <c r="F16" s="22">
        <v>567628</v>
      </c>
      <c r="G16" s="22">
        <v>340958</v>
      </c>
      <c r="H16" s="22">
        <v>177316</v>
      </c>
      <c r="I16" s="22">
        <v>31512</v>
      </c>
      <c r="J16" s="22">
        <v>0</v>
      </c>
      <c r="K16" s="22">
        <v>0</v>
      </c>
    </row>
    <row r="17" spans="1:26">
      <c r="A17" s="13" t="s">
        <v>3</v>
      </c>
      <c r="B17" s="14">
        <f t="shared" ref="B17:K17" si="2">AVERAGE(B14:B16)</f>
        <v>1703179.6666666667</v>
      </c>
      <c r="C17" s="14">
        <f t="shared" si="2"/>
        <v>1382045</v>
      </c>
      <c r="D17" s="14">
        <f t="shared" si="2"/>
        <v>1178667</v>
      </c>
      <c r="E17" s="14">
        <f t="shared" si="2"/>
        <v>863578.33333333337</v>
      </c>
      <c r="F17" s="14">
        <f t="shared" si="2"/>
        <v>556595</v>
      </c>
      <c r="G17" s="14">
        <f t="shared" si="2"/>
        <v>308894</v>
      </c>
      <c r="H17" s="14">
        <f t="shared" si="2"/>
        <v>144937.66666666666</v>
      </c>
      <c r="I17" s="14">
        <f t="shared" si="2"/>
        <v>30173.333333333332</v>
      </c>
      <c r="J17" s="14">
        <f t="shared" si="2"/>
        <v>0</v>
      </c>
      <c r="K17" s="14">
        <f t="shared" si="2"/>
        <v>0</v>
      </c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>
      <c r="A18" s="13" t="s">
        <v>4</v>
      </c>
      <c r="B18" s="14">
        <f t="shared" ref="B18:K18" si="3">STDEV(B14:B16)</f>
        <v>27287.808272804421</v>
      </c>
      <c r="C18" s="14">
        <f t="shared" si="3"/>
        <v>60243.359542774502</v>
      </c>
      <c r="D18" s="14">
        <f t="shared" si="3"/>
        <v>48296.069477753568</v>
      </c>
      <c r="E18" s="14">
        <f t="shared" si="3"/>
        <v>41372.129076630001</v>
      </c>
      <c r="F18" s="14">
        <f t="shared" si="3"/>
        <v>33077.573565786231</v>
      </c>
      <c r="G18" s="14">
        <f t="shared" si="3"/>
        <v>61364.259597912533</v>
      </c>
      <c r="H18" s="14">
        <f t="shared" si="3"/>
        <v>61517.73835515519</v>
      </c>
      <c r="I18" s="14">
        <f t="shared" si="3"/>
        <v>29526.768149144486</v>
      </c>
      <c r="J18" s="14">
        <f t="shared" si="3"/>
        <v>0</v>
      </c>
      <c r="K18" s="14">
        <f t="shared" si="3"/>
        <v>0</v>
      </c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20" spans="1:26">
      <c r="A20" s="13" t="s">
        <v>5</v>
      </c>
      <c r="C20" s="5"/>
      <c r="D20" s="5"/>
      <c r="E20" s="4"/>
      <c r="F20" s="6"/>
      <c r="G20" s="7"/>
      <c r="H20" s="4"/>
      <c r="I20" s="4"/>
    </row>
    <row r="21" spans="1:26">
      <c r="A21" s="1">
        <v>1</v>
      </c>
      <c r="B21" s="22">
        <v>1708809</v>
      </c>
      <c r="C21" s="22">
        <v>1256408</v>
      </c>
      <c r="D21" s="22">
        <v>1027069</v>
      </c>
      <c r="E21" s="22">
        <v>747868</v>
      </c>
      <c r="F21" s="22">
        <v>420382</v>
      </c>
      <c r="G21" s="22">
        <v>290518</v>
      </c>
      <c r="H21" s="22">
        <v>179970</v>
      </c>
      <c r="I21" s="22">
        <v>52839</v>
      </c>
      <c r="J21" s="22">
        <v>0</v>
      </c>
      <c r="K21" s="22">
        <v>0</v>
      </c>
    </row>
    <row r="22" spans="1:26">
      <c r="A22" s="1">
        <v>2</v>
      </c>
      <c r="B22" s="22">
        <v>1681961</v>
      </c>
      <c r="C22" s="22">
        <v>1401591</v>
      </c>
      <c r="D22" s="22">
        <v>1214654</v>
      </c>
      <c r="E22" s="22">
        <v>863041</v>
      </c>
      <c r="F22" s="22">
        <v>604467</v>
      </c>
      <c r="G22" s="22">
        <v>362542</v>
      </c>
      <c r="H22" s="22">
        <v>211274</v>
      </c>
      <c r="I22" s="22">
        <v>52213</v>
      </c>
      <c r="J22" s="22">
        <v>0</v>
      </c>
      <c r="K22" s="22">
        <v>0</v>
      </c>
    </row>
    <row r="23" spans="1:26">
      <c r="A23" s="1">
        <v>3</v>
      </c>
      <c r="B23" s="22">
        <v>1708190</v>
      </c>
      <c r="C23" s="20">
        <v>1379841</v>
      </c>
      <c r="D23" s="20">
        <v>1330743</v>
      </c>
      <c r="E23" s="22">
        <v>1003465</v>
      </c>
      <c r="F23" s="22">
        <v>706979</v>
      </c>
      <c r="G23" s="22">
        <v>436835</v>
      </c>
      <c r="H23" s="22">
        <v>291337</v>
      </c>
      <c r="I23" s="22">
        <v>129376</v>
      </c>
      <c r="J23" s="22">
        <v>27995</v>
      </c>
      <c r="K23" s="22">
        <v>0</v>
      </c>
    </row>
    <row r="24" spans="1:26">
      <c r="A24" s="11" t="s">
        <v>3</v>
      </c>
      <c r="B24" s="14">
        <f t="shared" ref="B24:K24" si="4">AVERAGE(B21:B23)</f>
        <v>1699653.3333333333</v>
      </c>
      <c r="C24" s="14">
        <f>AVERAGE(C21:C23)</f>
        <v>1345946.6666666667</v>
      </c>
      <c r="D24" s="14">
        <f>AVERAGE(D21:D23)</f>
        <v>1190822</v>
      </c>
      <c r="E24" s="14">
        <f t="shared" si="4"/>
        <v>871458</v>
      </c>
      <c r="F24" s="14">
        <f t="shared" si="4"/>
        <v>577276</v>
      </c>
      <c r="G24" s="14">
        <f t="shared" si="4"/>
        <v>363298.33333333331</v>
      </c>
      <c r="H24" s="14">
        <f t="shared" si="4"/>
        <v>227527</v>
      </c>
      <c r="I24" s="14">
        <f t="shared" si="4"/>
        <v>78142.666666666672</v>
      </c>
      <c r="J24" s="14">
        <f t="shared" si="4"/>
        <v>9331.6666666666661</v>
      </c>
      <c r="K24" s="14">
        <f t="shared" si="4"/>
        <v>0</v>
      </c>
      <c r="L24" s="14"/>
      <c r="M24" s="14"/>
      <c r="N24" s="19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spans="1:26">
      <c r="A25" s="11" t="s">
        <v>4</v>
      </c>
      <c r="B25" s="14">
        <f t="shared" ref="B25:K25" si="5">STDEV(B21:B23)</f>
        <v>15325.135703586227</v>
      </c>
      <c r="C25" s="14">
        <f>STDEV(C21:C23)</f>
        <v>78301.629908535964</v>
      </c>
      <c r="D25" s="14">
        <f>STDEV(D21:D23)</f>
        <v>153233.31144695659</v>
      </c>
      <c r="E25" s="14">
        <f t="shared" si="5"/>
        <v>128006.21476709636</v>
      </c>
      <c r="F25" s="14">
        <f t="shared" si="5"/>
        <v>145220.42887624315</v>
      </c>
      <c r="G25" s="14">
        <f t="shared" si="5"/>
        <v>73161.432136975985</v>
      </c>
      <c r="H25" s="14">
        <f t="shared" si="5"/>
        <v>57434.938661062399</v>
      </c>
      <c r="I25" s="14">
        <f t="shared" si="5"/>
        <v>44370.472189659355</v>
      </c>
      <c r="J25" s="14">
        <f t="shared" si="5"/>
        <v>16162.920785963574</v>
      </c>
      <c r="K25" s="14">
        <f t="shared" si="5"/>
        <v>0</v>
      </c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1:26">
      <c r="J26" s="8"/>
    </row>
    <row r="27" spans="1:26">
      <c r="A27" s="11" t="s">
        <v>0</v>
      </c>
    </row>
    <row r="28" spans="1:26">
      <c r="A28" s="11" t="s">
        <v>6</v>
      </c>
    </row>
    <row r="29" spans="1:26">
      <c r="A29" s="2">
        <v>1</v>
      </c>
      <c r="B29" s="9">
        <f>(($B7-B7)/$B7)*100</f>
        <v>0</v>
      </c>
      <c r="C29" s="9">
        <f t="shared" ref="C29:K29" si="6">(($B7-C7)/$B7)*100</f>
        <v>11.530923709892612</v>
      </c>
      <c r="D29" s="9">
        <f t="shared" si="6"/>
        <v>23.642271527466214</v>
      </c>
      <c r="E29" s="9">
        <f t="shared" si="6"/>
        <v>43.347467119982738</v>
      </c>
      <c r="F29" s="9">
        <f t="shared" si="6"/>
        <v>62.827572702955869</v>
      </c>
      <c r="G29" s="9">
        <f t="shared" si="6"/>
        <v>71.870452114570099</v>
      </c>
      <c r="H29" s="9">
        <f t="shared" si="6"/>
        <v>81.7631815543794</v>
      </c>
      <c r="I29" s="9">
        <f t="shared" si="6"/>
        <v>90.368934756237749</v>
      </c>
      <c r="J29" s="9">
        <f t="shared" si="6"/>
        <v>96.712145275961646</v>
      </c>
      <c r="K29" s="9">
        <f t="shared" si="6"/>
        <v>99.403405633012738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2">
        <v>2</v>
      </c>
      <c r="B30" s="9">
        <f t="shared" ref="B30:K30" si="7">(($B8-B8)/$B8)*100</f>
        <v>0</v>
      </c>
      <c r="C30" s="9">
        <f t="shared" si="7"/>
        <v>4.9261254306384377</v>
      </c>
      <c r="D30" s="9">
        <f t="shared" si="7"/>
        <v>23.659161979042103</v>
      </c>
      <c r="E30" s="9">
        <f t="shared" si="7"/>
        <v>42.123219819402756</v>
      </c>
      <c r="F30" s="9">
        <f t="shared" si="7"/>
        <v>64.449799083484706</v>
      </c>
      <c r="G30" s="9">
        <f t="shared" si="7"/>
        <v>79.843908994789061</v>
      </c>
      <c r="H30" s="9">
        <f t="shared" si="7"/>
        <v>89.587670708507233</v>
      </c>
      <c r="I30" s="9">
        <f t="shared" si="7"/>
        <v>98.906708950931744</v>
      </c>
      <c r="J30" s="9">
        <f t="shared" si="7"/>
        <v>100</v>
      </c>
      <c r="K30" s="9">
        <f t="shared" si="7"/>
        <v>100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2">
        <v>3</v>
      </c>
      <c r="B31" s="9">
        <f t="shared" ref="B31:K31" si="8">(($B9-B9)/$B9)*100</f>
        <v>0</v>
      </c>
      <c r="C31" s="9">
        <f t="shared" si="8"/>
        <v>4.4104504601442454</v>
      </c>
      <c r="D31" s="9">
        <f t="shared" si="8"/>
        <v>15.314568893113229</v>
      </c>
      <c r="E31" s="9">
        <f t="shared" si="8"/>
        <v>40.566280797085206</v>
      </c>
      <c r="F31" s="9">
        <f t="shared" si="8"/>
        <v>56.869225780033418</v>
      </c>
      <c r="G31" s="9">
        <f t="shared" si="8"/>
        <v>69.956331877729255</v>
      </c>
      <c r="H31" s="9">
        <f t="shared" si="8"/>
        <v>82.926929870968323</v>
      </c>
      <c r="I31" s="9">
        <f t="shared" si="8"/>
        <v>95.131288314219191</v>
      </c>
      <c r="J31" s="9">
        <f t="shared" si="8"/>
        <v>99.899811399143374</v>
      </c>
      <c r="K31" s="9">
        <f t="shared" si="8"/>
        <v>100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3" t="s">
        <v>3</v>
      </c>
      <c r="B32" s="16">
        <f>AVERAGE(B29:B31)</f>
        <v>0</v>
      </c>
      <c r="C32" s="16">
        <f t="shared" ref="B32:K32" si="9">AVERAGE(C29:C31)</f>
        <v>6.955833200225098</v>
      </c>
      <c r="D32" s="16">
        <f t="shared" si="9"/>
        <v>20.872000799873849</v>
      </c>
      <c r="E32" s="16">
        <f t="shared" si="9"/>
        <v>42.012322578823564</v>
      </c>
      <c r="F32" s="16">
        <f t="shared" si="9"/>
        <v>61.382199188824664</v>
      </c>
      <c r="G32" s="16">
        <f t="shared" si="9"/>
        <v>73.890230995696143</v>
      </c>
      <c r="H32" s="16">
        <f t="shared" si="9"/>
        <v>84.759260711284981</v>
      </c>
      <c r="I32" s="16">
        <f t="shared" si="9"/>
        <v>94.802310673796228</v>
      </c>
      <c r="J32" s="16">
        <f t="shared" si="9"/>
        <v>98.870652225035016</v>
      </c>
      <c r="K32" s="16">
        <f t="shared" si="9"/>
        <v>99.801135211004251</v>
      </c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spans="1:26">
      <c r="A33" s="13" t="s">
        <v>4</v>
      </c>
      <c r="B33" s="16">
        <f>STDEV(B29:B31)</f>
        <v>0</v>
      </c>
      <c r="C33" s="16">
        <f t="shared" ref="B33:K33" si="10">STDEV(C29:C31)</f>
        <v>3.9705251601691001</v>
      </c>
      <c r="D33" s="16">
        <f t="shared" si="10"/>
        <v>4.8128846205315678</v>
      </c>
      <c r="E33" s="16">
        <f t="shared" si="10"/>
        <v>1.3939056600588628</v>
      </c>
      <c r="F33" s="16">
        <f t="shared" si="10"/>
        <v>3.9916289092003012</v>
      </c>
      <c r="G33" s="16">
        <f t="shared" si="10"/>
        <v>5.2441086333077847</v>
      </c>
      <c r="H33" s="16">
        <f t="shared" si="10"/>
        <v>4.2218165358110591</v>
      </c>
      <c r="I33" s="16">
        <f t="shared" si="10"/>
        <v>4.2783836627655738</v>
      </c>
      <c r="J33" s="16">
        <f t="shared" si="10"/>
        <v>1.8699929480706319</v>
      </c>
      <c r="K33" s="16">
        <f t="shared" si="10"/>
        <v>0.3444439183771098</v>
      </c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spans="1:26">
      <c r="A34" s="11"/>
    </row>
    <row r="35" spans="1:26">
      <c r="A35" s="11" t="s">
        <v>2</v>
      </c>
    </row>
    <row r="36" spans="1:26">
      <c r="A36" s="2">
        <v>1</v>
      </c>
      <c r="B36" s="9">
        <f>(($B14-B14)/$B14)*100</f>
        <v>0</v>
      </c>
      <c r="C36" s="9">
        <f t="shared" ref="C36:K36" si="11">(($B14-C14)/$B14)*100</f>
        <v>16.165577468382324</v>
      </c>
      <c r="D36" s="9">
        <f t="shared" si="11"/>
        <v>32.952026952583637</v>
      </c>
      <c r="E36" s="9">
        <f t="shared" si="11"/>
        <v>48.215087184185649</v>
      </c>
      <c r="F36" s="9">
        <f t="shared" si="11"/>
        <v>66.208024308354254</v>
      </c>
      <c r="G36" s="9">
        <f t="shared" si="11"/>
        <v>79.844477561742181</v>
      </c>
      <c r="H36" s="9">
        <f t="shared" si="11"/>
        <v>89.359064313921053</v>
      </c>
      <c r="I36" s="9">
        <f t="shared" si="11"/>
        <v>96.578274408382669</v>
      </c>
      <c r="J36" s="9">
        <f t="shared" si="11"/>
        <v>100</v>
      </c>
      <c r="K36" s="9">
        <f t="shared" si="11"/>
        <v>100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2">
        <v>2</v>
      </c>
      <c r="B37" s="9">
        <f t="shared" ref="B37:K37" si="12">(($B15-B15)/$B15)*100</f>
        <v>0</v>
      </c>
      <c r="C37" s="9">
        <f t="shared" si="12"/>
        <v>22.57557081371646</v>
      </c>
      <c r="D37" s="9">
        <f t="shared" si="12"/>
        <v>33.104363601753825</v>
      </c>
      <c r="E37" s="9">
        <f t="shared" si="12"/>
        <v>52.336828411087474</v>
      </c>
      <c r="F37" s="9">
        <f t="shared" si="12"/>
        <v>69.6711839724302</v>
      </c>
      <c r="G37" s="9">
        <f t="shared" si="12"/>
        <v>86.0948184601299</v>
      </c>
      <c r="H37" s="9">
        <f t="shared" si="12"/>
        <v>95.679490645504288</v>
      </c>
      <c r="I37" s="9">
        <f t="shared" si="12"/>
        <v>100</v>
      </c>
      <c r="J37" s="9">
        <f t="shared" si="12"/>
        <v>100</v>
      </c>
      <c r="K37" s="9">
        <f t="shared" si="12"/>
        <v>100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2">
        <v>3</v>
      </c>
      <c r="B38" s="9">
        <f t="shared" ref="B38:K38" si="13">(($B16-B16)/$B16)*100</f>
        <v>0</v>
      </c>
      <c r="C38" s="9">
        <f t="shared" si="13"/>
        <v>17.818264441561084</v>
      </c>
      <c r="D38" s="9">
        <f t="shared" si="13"/>
        <v>26.209288281123872</v>
      </c>
      <c r="E38" s="9">
        <f t="shared" si="13"/>
        <v>47.297046812123675</v>
      </c>
      <c r="F38" s="9">
        <f t="shared" si="13"/>
        <v>66.059685607170408</v>
      </c>
      <c r="G38" s="9">
        <f t="shared" si="13"/>
        <v>79.613018183122762</v>
      </c>
      <c r="H38" s="9">
        <f t="shared" si="13"/>
        <v>89.397702743911552</v>
      </c>
      <c r="I38" s="9">
        <f t="shared" si="13"/>
        <v>98.115795578888211</v>
      </c>
      <c r="J38" s="9">
        <f t="shared" si="13"/>
        <v>100</v>
      </c>
      <c r="K38" s="9">
        <f t="shared" si="13"/>
        <v>100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3" t="s">
        <v>3</v>
      </c>
      <c r="B39" s="15">
        <f t="shared" ref="B39:K39" si="14">AVERAGE(B36:B38)</f>
        <v>0</v>
      </c>
      <c r="C39" s="16">
        <f t="shared" si="14"/>
        <v>18.853137574553291</v>
      </c>
      <c r="D39" s="16">
        <f t="shared" si="14"/>
        <v>30.755226278487115</v>
      </c>
      <c r="E39" s="16">
        <f t="shared" si="14"/>
        <v>49.282987469132273</v>
      </c>
      <c r="F39" s="16">
        <f t="shared" si="14"/>
        <v>67.312964629318287</v>
      </c>
      <c r="G39" s="16">
        <f t="shared" si="14"/>
        <v>81.850771401664943</v>
      </c>
      <c r="H39" s="16">
        <f t="shared" si="14"/>
        <v>91.478752567778955</v>
      </c>
      <c r="I39" s="16">
        <f t="shared" si="14"/>
        <v>98.231356662423636</v>
      </c>
      <c r="J39" s="16">
        <f t="shared" si="14"/>
        <v>100</v>
      </c>
      <c r="K39" s="15">
        <f t="shared" si="14"/>
        <v>100</v>
      </c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spans="1:26">
      <c r="A40" s="13" t="s">
        <v>4</v>
      </c>
      <c r="B40" s="15">
        <f t="shared" ref="B40:K40" si="15">STDEV(B36:B38)</f>
        <v>0</v>
      </c>
      <c r="C40" s="16">
        <f t="shared" si="15"/>
        <v>3.3279461343069734</v>
      </c>
      <c r="D40" s="16">
        <f t="shared" si="15"/>
        <v>3.937634546345437</v>
      </c>
      <c r="E40" s="16">
        <f t="shared" si="15"/>
        <v>2.6842425198285134</v>
      </c>
      <c r="F40" s="16">
        <f t="shared" si="15"/>
        <v>2.0436242182058844</v>
      </c>
      <c r="G40" s="16">
        <f t="shared" si="15"/>
        <v>3.6772741177176997</v>
      </c>
      <c r="H40" s="16">
        <f t="shared" si="15"/>
        <v>3.6379971866820648</v>
      </c>
      <c r="I40" s="16">
        <f t="shared" si="15"/>
        <v>1.7137874077910462</v>
      </c>
      <c r="J40" s="16">
        <f t="shared" si="15"/>
        <v>0</v>
      </c>
      <c r="K40" s="15">
        <f t="shared" si="15"/>
        <v>0</v>
      </c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2" spans="1:26">
      <c r="A42" s="11" t="s">
        <v>5</v>
      </c>
    </row>
    <row r="43" spans="1:26">
      <c r="A43" s="2">
        <v>1</v>
      </c>
      <c r="B43" s="9">
        <f>(($B21-B21)/$B21)*100</f>
        <v>0</v>
      </c>
      <c r="C43" s="9">
        <f t="shared" ref="C43:K43" si="16">(($B21-C21)/$B21)*100</f>
        <v>26.474638183670614</v>
      </c>
      <c r="D43" s="9">
        <f t="shared" si="16"/>
        <v>39.895623208913342</v>
      </c>
      <c r="E43" s="9">
        <f t="shared" si="16"/>
        <v>56.234546985649068</v>
      </c>
      <c r="F43" s="9">
        <f t="shared" si="16"/>
        <v>75.399123014918572</v>
      </c>
      <c r="G43" s="9">
        <f t="shared" si="16"/>
        <v>82.998802089642552</v>
      </c>
      <c r="H43" s="9">
        <f t="shared" si="16"/>
        <v>89.468103222770949</v>
      </c>
      <c r="I43" s="9">
        <f t="shared" si="16"/>
        <v>96.907846342101436</v>
      </c>
      <c r="J43" s="9">
        <f t="shared" si="16"/>
        <v>100</v>
      </c>
      <c r="K43" s="9">
        <f t="shared" si="16"/>
        <v>100</v>
      </c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2">
        <v>2</v>
      </c>
      <c r="B44" s="9">
        <f t="shared" ref="B44:K44" si="17">(($B22-B22)/$B22)*100</f>
        <v>0</v>
      </c>
      <c r="C44" s="9">
        <f t="shared" si="17"/>
        <v>16.669233115393283</v>
      </c>
      <c r="D44" s="9">
        <f t="shared" si="17"/>
        <v>27.783462280040975</v>
      </c>
      <c r="E44" s="9">
        <f t="shared" si="17"/>
        <v>48.688405973741368</v>
      </c>
      <c r="F44" s="9">
        <f t="shared" si="17"/>
        <v>64.061770754494304</v>
      </c>
      <c r="G44" s="9">
        <f t="shared" si="17"/>
        <v>78.445279052249134</v>
      </c>
      <c r="H44" s="9">
        <f t="shared" si="17"/>
        <v>87.438828843237147</v>
      </c>
      <c r="I44" s="9">
        <f t="shared" si="17"/>
        <v>96.89570685646099</v>
      </c>
      <c r="J44" s="9">
        <f t="shared" si="17"/>
        <v>100</v>
      </c>
      <c r="K44" s="9">
        <f t="shared" si="17"/>
        <v>100</v>
      </c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2">
        <v>3</v>
      </c>
      <c r="B45" s="9">
        <f t="shared" ref="B45:K45" si="18">(($B23-B23)/$B23)*100</f>
        <v>0</v>
      </c>
      <c r="C45" s="9">
        <f t="shared" si="18"/>
        <v>19.222042044503247</v>
      </c>
      <c r="D45" s="9">
        <f t="shared" si="18"/>
        <v>22.096312471095136</v>
      </c>
      <c r="E45" s="9">
        <f t="shared" si="18"/>
        <v>41.255656572161179</v>
      </c>
      <c r="F45" s="9">
        <f t="shared" si="18"/>
        <v>58.612390893284704</v>
      </c>
      <c r="G45" s="9">
        <f t="shared" si="18"/>
        <v>74.427025096739825</v>
      </c>
      <c r="H45" s="9">
        <f t="shared" si="18"/>
        <v>82.944695847651602</v>
      </c>
      <c r="I45" s="9">
        <f t="shared" si="18"/>
        <v>92.426135265983291</v>
      </c>
      <c r="J45" s="9">
        <f t="shared" si="18"/>
        <v>98.361130787558764</v>
      </c>
      <c r="K45" s="9">
        <f t="shared" si="18"/>
        <v>100</v>
      </c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3" t="s">
        <v>3</v>
      </c>
      <c r="B46" s="16">
        <f t="shared" ref="B46:K46" si="19">AVERAGE(B43:B45)</f>
        <v>0</v>
      </c>
      <c r="C46" s="16">
        <f t="shared" si="19"/>
        <v>20.788637781189049</v>
      </c>
      <c r="D46" s="16">
        <f t="shared" si="19"/>
        <v>29.925132653349817</v>
      </c>
      <c r="E46" s="16">
        <f t="shared" si="19"/>
        <v>48.726203177183869</v>
      </c>
      <c r="F46" s="16">
        <f t="shared" si="19"/>
        <v>66.024428220899196</v>
      </c>
      <c r="G46" s="16">
        <f t="shared" si="19"/>
        <v>78.623702079543833</v>
      </c>
      <c r="H46" s="16">
        <f t="shared" si="19"/>
        <v>86.617209304553228</v>
      </c>
      <c r="I46" s="16">
        <f t="shared" si="19"/>
        <v>95.409896154848582</v>
      </c>
      <c r="J46" s="16">
        <f t="shared" si="19"/>
        <v>99.453710262519579</v>
      </c>
      <c r="K46" s="16">
        <f t="shared" si="19"/>
        <v>100</v>
      </c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spans="1:26">
      <c r="A47" s="13" t="s">
        <v>4</v>
      </c>
      <c r="B47" s="17">
        <f t="shared" ref="B47:K47" si="20">STDEV(B43:B45)</f>
        <v>0</v>
      </c>
      <c r="C47" s="17">
        <f t="shared" si="20"/>
        <v>5.0869596803887953</v>
      </c>
      <c r="D47" s="17">
        <f t="shared" si="20"/>
        <v>9.0908706775690309</v>
      </c>
      <c r="E47" s="17">
        <f t="shared" si="20"/>
        <v>7.4895167384992813</v>
      </c>
      <c r="F47" s="17">
        <f t="shared" si="20"/>
        <v>8.5637382070390125</v>
      </c>
      <c r="G47" s="17">
        <f t="shared" si="20"/>
        <v>4.2886730216368658</v>
      </c>
      <c r="H47" s="17">
        <f t="shared" si="20"/>
        <v>3.3384135371761166</v>
      </c>
      <c r="I47" s="17">
        <f t="shared" si="20"/>
        <v>2.5840198573578155</v>
      </c>
      <c r="J47" s="17">
        <f t="shared" si="20"/>
        <v>0.94620158096953744</v>
      </c>
      <c r="K47" s="17">
        <f t="shared" si="20"/>
        <v>0</v>
      </c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9" spans="1:6">
      <c r="A49" s="11" t="s">
        <v>13</v>
      </c>
    </row>
    <row r="50" spans="1:6">
      <c r="A50" s="11" t="s">
        <v>6</v>
      </c>
      <c r="B50" t="s">
        <v>9</v>
      </c>
      <c r="C50" s="18" t="s">
        <v>10</v>
      </c>
      <c r="D50" s="18" t="s">
        <v>11</v>
      </c>
      <c r="E50" s="18" t="s">
        <v>12</v>
      </c>
    </row>
    <row r="51" spans="1:6">
      <c r="A51" s="2">
        <v>1</v>
      </c>
      <c r="B51" s="21">
        <f t="shared" ref="B51:E53" si="21">((B7-C7)/(C$3-B$3))/((B$10-C$10)/(C$3-B$3))</f>
        <v>1.6968206767058243</v>
      </c>
      <c r="C51" s="21">
        <f t="shared" si="21"/>
        <v>0.90797628948690923</v>
      </c>
      <c r="D51" s="21">
        <f t="shared" si="21"/>
        <v>0.96159367960937558</v>
      </c>
      <c r="E51" s="21">
        <f t="shared" si="21"/>
        <v>1.0437389337315615</v>
      </c>
    </row>
    <row r="52" spans="1:6">
      <c r="A52" s="2">
        <v>2</v>
      </c>
      <c r="B52" s="21">
        <f t="shared" si="21"/>
        <v>0.66477651286813966</v>
      </c>
      <c r="C52" s="21">
        <f t="shared" si="21"/>
        <v>1.2879190409996741</v>
      </c>
      <c r="D52" s="21">
        <f t="shared" si="21"/>
        <v>0.82629733956317775</v>
      </c>
      <c r="E52" s="21">
        <f t="shared" si="21"/>
        <v>1.0970366029627669</v>
      </c>
    </row>
    <row r="53" spans="1:6">
      <c r="A53" s="2">
        <v>3</v>
      </c>
      <c r="B53" s="21">
        <f t="shared" si="21"/>
        <v>0.63840281042603408</v>
      </c>
      <c r="C53" s="21">
        <f t="shared" si="21"/>
        <v>0.80410466951341752</v>
      </c>
      <c r="D53" s="21">
        <f t="shared" si="21"/>
        <v>1.2121089808274472</v>
      </c>
      <c r="E53" s="21">
        <f t="shared" si="21"/>
        <v>0.85922446330567159</v>
      </c>
    </row>
    <row r="54" spans="1:6">
      <c r="A54" s="13" t="s">
        <v>3</v>
      </c>
      <c r="B54" s="16">
        <f>AVERAGE(B51:B53)</f>
        <v>0.99999999999999922</v>
      </c>
      <c r="C54" s="16">
        <f t="shared" ref="C54" si="22">AVERAGE(C51:C53)</f>
        <v>1.0000000000000002</v>
      </c>
      <c r="D54" s="16">
        <f t="shared" ref="D54" si="23">AVERAGE(D51:D53)</f>
        <v>1.0000000000000002</v>
      </c>
      <c r="E54" s="16">
        <f t="shared" ref="E54" si="24">AVERAGE(E51:E53)</f>
        <v>1</v>
      </c>
      <c r="F54" s="16"/>
    </row>
    <row r="55" spans="1:6">
      <c r="A55" s="13" t="s">
        <v>4</v>
      </c>
      <c r="B55" s="17">
        <f t="shared" ref="B55:E55" si="25">STDEV(B51:B53)</f>
        <v>0.60360846967111015</v>
      </c>
      <c r="C55" s="17">
        <f t="shared" si="25"/>
        <v>0.25469660183561188</v>
      </c>
      <c r="D55" s="17">
        <f t="shared" si="25"/>
        <v>0.19575224064673574</v>
      </c>
      <c r="E55" s="17">
        <f t="shared" si="25"/>
        <v>0.12479372654525527</v>
      </c>
      <c r="F55" s="17"/>
    </row>
    <row r="56" spans="1:6">
      <c r="A56" s="11"/>
      <c r="B56" s="21"/>
      <c r="C56" s="21"/>
      <c r="D56" s="21"/>
      <c r="E56" s="21"/>
    </row>
    <row r="57" spans="1:6">
      <c r="A57" s="11" t="s">
        <v>2</v>
      </c>
      <c r="B57" s="21"/>
      <c r="C57" s="21"/>
      <c r="D57" s="21"/>
      <c r="E57" s="21"/>
    </row>
    <row r="58" spans="1:6">
      <c r="A58" s="2">
        <v>1</v>
      </c>
      <c r="B58" s="21">
        <f t="shared" ref="B58:E60" si="26">((B14-C14)/(C$3-B$3))/((B$10-C$10)/(C$3-B$3))</f>
        <v>2.412198702658424</v>
      </c>
      <c r="C58" s="21">
        <f t="shared" si="26"/>
        <v>1.2761181528840253</v>
      </c>
      <c r="D58" s="21">
        <f t="shared" si="26"/>
        <v>0.75527041955801277</v>
      </c>
      <c r="E58" s="21">
        <f t="shared" si="26"/>
        <v>0.97758076406873218</v>
      </c>
    </row>
    <row r="59" spans="1:6">
      <c r="A59" s="2">
        <v>2</v>
      </c>
      <c r="B59" s="21">
        <f t="shared" si="26"/>
        <v>3.3454193574438484</v>
      </c>
      <c r="C59" s="21">
        <f t="shared" si="26"/>
        <v>0.7948782000229232</v>
      </c>
      <c r="D59" s="21">
        <f t="shared" si="26"/>
        <v>0.94511743128918579</v>
      </c>
      <c r="E59" s="21">
        <f t="shared" si="26"/>
        <v>0.93529422884255498</v>
      </c>
    </row>
    <row r="60" spans="1:6">
      <c r="A60" s="2">
        <v>3</v>
      </c>
      <c r="B60" s="21">
        <f t="shared" si="26"/>
        <v>2.5785139699286708</v>
      </c>
      <c r="C60" s="21">
        <f t="shared" si="26"/>
        <v>0.61862750572337954</v>
      </c>
      <c r="D60" s="21">
        <f t="shared" si="26"/>
        <v>1.011983682526626</v>
      </c>
      <c r="E60" s="21">
        <f t="shared" si="26"/>
        <v>0.98861395184716105</v>
      </c>
    </row>
    <row r="61" spans="1:6">
      <c r="A61" s="13" t="s">
        <v>3</v>
      </c>
      <c r="B61" s="16">
        <f>AVERAGE(B58:B60)</f>
        <v>2.7787106766769809</v>
      </c>
      <c r="C61" s="16">
        <f t="shared" ref="C61" si="27">AVERAGE(C58:C60)</f>
        <v>0.89654128621010942</v>
      </c>
      <c r="D61" s="16">
        <f t="shared" ref="D61" si="28">AVERAGE(D58:D60)</f>
        <v>0.90412384445794147</v>
      </c>
      <c r="E61" s="16">
        <f t="shared" ref="E61" si="29">AVERAGE(E58:E60)</f>
        <v>0.96716298158614933</v>
      </c>
    </row>
    <row r="62" spans="1:6">
      <c r="A62" s="13" t="s">
        <v>4</v>
      </c>
      <c r="B62" s="17">
        <f t="shared" ref="B62:E62" si="30">STDEV(B58:B60)</f>
        <v>0.49777930719766678</v>
      </c>
      <c r="C62" s="17">
        <f t="shared" si="30"/>
        <v>0.34033075837449428</v>
      </c>
      <c r="D62" s="17">
        <f t="shared" si="30"/>
        <v>0.13317575029623907</v>
      </c>
      <c r="E62" s="17">
        <f t="shared" si="30"/>
        <v>2.8145085880359046E-2</v>
      </c>
    </row>
    <row r="63" spans="1:6">
      <c r="B63" s="21"/>
      <c r="C63" s="21"/>
      <c r="D63" s="21"/>
      <c r="E63" s="21"/>
    </row>
    <row r="64" spans="1:6">
      <c r="A64" s="11" t="s">
        <v>5</v>
      </c>
      <c r="B64" s="21"/>
      <c r="C64" s="21"/>
      <c r="D64" s="21"/>
      <c r="E64" s="21"/>
    </row>
    <row r="65" spans="1:26">
      <c r="A65" s="2">
        <v>1</v>
      </c>
      <c r="B65" s="21">
        <f t="shared" ref="B65:E67" si="31">((B21-C21)/(C$3-B$3))/((B$10-C$10)/(C$3-B$3))</f>
        <v>3.9145306294327495</v>
      </c>
      <c r="C65" s="21">
        <f t="shared" si="31"/>
        <v>1.0109838922505887</v>
      </c>
      <c r="D65" s="21">
        <f t="shared" si="31"/>
        <v>0.80114681421896605</v>
      </c>
      <c r="E65" s="21">
        <f t="shared" si="31"/>
        <v>1.0317574336969055</v>
      </c>
    </row>
    <row r="66" spans="1:26">
      <c r="A66" s="2">
        <v>2</v>
      </c>
      <c r="B66" s="21">
        <f t="shared" si="31"/>
        <v>2.4259825963560204</v>
      </c>
      <c r="C66" s="21">
        <f t="shared" si="31"/>
        <v>0.82406523036050705</v>
      </c>
      <c r="D66" s="21">
        <f t="shared" si="31"/>
        <v>1.0089277430524006</v>
      </c>
      <c r="E66" s="21">
        <f t="shared" si="31"/>
        <v>0.81464748618488614</v>
      </c>
    </row>
    <row r="67" spans="1:26">
      <c r="A67" s="2">
        <v>3</v>
      </c>
      <c r="B67" s="21">
        <f t="shared" si="31"/>
        <v>2.8411347845022754</v>
      </c>
      <c r="C67" s="21">
        <f t="shared" si="31"/>
        <v>0.21643631105795094</v>
      </c>
      <c r="D67" s="21">
        <f t="shared" si="31"/>
        <v>0.939100243423035</v>
      </c>
      <c r="E67" s="21">
        <f t="shared" si="31"/>
        <v>0.93409072292269213</v>
      </c>
    </row>
    <row r="68" spans="1:26">
      <c r="A68" s="13" t="s">
        <v>3</v>
      </c>
      <c r="B68" s="16">
        <f>AVERAGE(B65:B67)</f>
        <v>3.0605493367636818</v>
      </c>
      <c r="C68" s="16">
        <f t="shared" ref="C68" si="32">AVERAGE(C65:C67)</f>
        <v>0.68382847788968215</v>
      </c>
      <c r="D68" s="16">
        <f t="shared" ref="D68" si="33">AVERAGE(D65:D67)</f>
        <v>0.91639160023146715</v>
      </c>
      <c r="E68" s="16">
        <f t="shared" ref="E68" si="34">AVERAGE(E65:E67)</f>
        <v>0.92683188093482805</v>
      </c>
    </row>
    <row r="69" spans="1:26">
      <c r="A69" s="13" t="s">
        <v>4</v>
      </c>
      <c r="B69" s="17">
        <f t="shared" ref="B69:E69" si="35">STDEV(B65:B67)</f>
        <v>0.76814768827498492</v>
      </c>
      <c r="C69" s="17">
        <f t="shared" si="35"/>
        <v>0.41542294682942182</v>
      </c>
      <c r="D69" s="17">
        <f t="shared" si="35"/>
        <v>0.10573547395941749</v>
      </c>
      <c r="E69" s="17">
        <f t="shared" si="35"/>
        <v>0.10873684020340825</v>
      </c>
    </row>
    <row r="70" spans="1:26">
      <c r="A70" s="13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</sheetData>
  <pageMargins left="0.7" right="0.7" top="0.75" bottom="0.75" header="0.3" footer="0.3"/>
  <pageSetup orientation="portrait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Rabbit wound healing data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Waleed</dc:creator>
  <cp:lastModifiedBy>Brian Lawrence</cp:lastModifiedBy>
  <dcterms:created xsi:type="dcterms:W3CDTF">2014-07-08T15:35:33Z</dcterms:created>
  <dcterms:modified xsi:type="dcterms:W3CDTF">2017-09-19T00:31:30Z</dcterms:modified>
</cp:coreProperties>
</file>