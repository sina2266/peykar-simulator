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0" yWindow="0" windowWidth="25600" windowHeight="16000" tabRatio="500" activeTab="1"/>
  </bookViews>
  <sheets>
    <sheet name="Epithelial Thickness" sheetId="1" r:id="rId1"/>
    <sheet name="ZO-1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2" i="2" l="1"/>
  <c r="C22" i="2"/>
  <c r="B22" i="2"/>
  <c r="B21" i="2"/>
  <c r="C21" i="2"/>
  <c r="D21" i="2"/>
  <c r="G22" i="2"/>
  <c r="F22" i="2"/>
  <c r="D15" i="2"/>
  <c r="C15" i="2"/>
  <c r="B15" i="2"/>
  <c r="B14" i="2"/>
  <c r="C14" i="2"/>
  <c r="D14" i="2"/>
  <c r="G15" i="2"/>
  <c r="F15" i="2"/>
  <c r="D8" i="2"/>
  <c r="C8" i="2"/>
  <c r="B8" i="2"/>
  <c r="B7" i="2"/>
  <c r="C7" i="2"/>
  <c r="D7" i="2"/>
  <c r="G8" i="2"/>
  <c r="F8" i="2"/>
  <c r="B14" i="1"/>
  <c r="B28" i="1"/>
  <c r="B42" i="1"/>
  <c r="B56" i="1"/>
  <c r="B59" i="1"/>
  <c r="C14" i="1"/>
  <c r="C28" i="1"/>
  <c r="C42" i="1"/>
  <c r="C56" i="1"/>
  <c r="C59" i="1"/>
  <c r="D14" i="1"/>
  <c r="D28" i="1"/>
  <c r="D42" i="1"/>
  <c r="D56" i="1"/>
  <c r="D59" i="1"/>
  <c r="E14" i="1"/>
  <c r="E28" i="1"/>
  <c r="E42" i="1"/>
  <c r="E56" i="1"/>
  <c r="E59" i="1"/>
  <c r="C15" i="1"/>
  <c r="C29" i="1"/>
  <c r="C43" i="1"/>
  <c r="C57" i="1"/>
  <c r="C60" i="1"/>
  <c r="D15" i="1"/>
  <c r="D29" i="1"/>
  <c r="D43" i="1"/>
  <c r="D57" i="1"/>
  <c r="D60" i="1"/>
  <c r="E15" i="1"/>
  <c r="E29" i="1"/>
  <c r="E43" i="1"/>
  <c r="E57" i="1"/>
  <c r="E60" i="1"/>
  <c r="B15" i="1"/>
  <c r="B29" i="1"/>
  <c r="B43" i="1"/>
  <c r="B57" i="1"/>
  <c r="B60" i="1"/>
</calcChain>
</file>

<file path=xl/sharedStrings.xml><?xml version="1.0" encoding="utf-8"?>
<sst xmlns="http://schemas.openxmlformats.org/spreadsheetml/2006/main" count="53" uniqueCount="23">
  <si>
    <t>Sample 1</t>
  </si>
  <si>
    <t>PBS</t>
  </si>
  <si>
    <t>0.5% Silk</t>
  </si>
  <si>
    <t>2% Silk</t>
  </si>
  <si>
    <t>Sample 2</t>
  </si>
  <si>
    <t>Sample 3</t>
  </si>
  <si>
    <t>Sample 4</t>
  </si>
  <si>
    <t>Treatment</t>
  </si>
  <si>
    <t>Native</t>
  </si>
  <si>
    <t>Control</t>
  </si>
  <si>
    <t>Rabbit 1</t>
  </si>
  <si>
    <t>Rabbit 2</t>
  </si>
  <si>
    <t>Rabbit 3</t>
  </si>
  <si>
    <t>A</t>
  </si>
  <si>
    <t>B</t>
  </si>
  <si>
    <t>C</t>
  </si>
  <si>
    <t>Average</t>
  </si>
  <si>
    <t>Stdev</t>
  </si>
  <si>
    <t>2.0% Silk</t>
  </si>
  <si>
    <t>St Dev</t>
  </si>
  <si>
    <t>Total St Dev</t>
  </si>
  <si>
    <t>Total Average</t>
  </si>
  <si>
    <t>ZO-1 Fluorescence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</si>
</sst>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</font>
    <font>
      <b/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/>
    <xf numFmtId="0" fontId="4" fillId="0" borderId="0" xfId="113"/>
    <xf numFmtId="0" fontId="4" fillId="0" borderId="4" xfId="113" applyBorder="1"/>
    <xf numFmtId="0" fontId="5" fillId="0" borderId="0" xfId="113" applyFont="1"/>
    <xf numFmtId="0" fontId="5" fillId="0" borderId="0" xfId="113" applyFont="1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0" fontId="6" fillId="0" borderId="0" xfId="113" applyFont="1"/>
    <xf numFmtId="0" fontId="6" fillId="0" borderId="1" xfId="113" applyFont="1" applyBorder="1"/>
    <xf numFmtId="0" fontId="6" fillId="0" borderId="4" xfId="113" applyFont="1" applyBorder="1"/>
    <xf numFmtId="0" fontId="6" fillId="0" borderId="6" xfId="113" applyFont="1" applyBorder="1"/>
    <xf numFmtId="0" fontId="6" fillId="0" borderId="7" xfId="113" applyFont="1" applyBorder="1"/>
    <xf numFmtId="0" fontId="6" fillId="0" borderId="10" xfId="113" applyFont="1" applyBorder="1"/>
    <xf numFmtId="0" fontId="7" fillId="0" borderId="1" xfId="0" applyFont="1" applyBorder="1"/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164" fontId="4" fillId="0" borderId="0" xfId="113" applyNumberFormat="1" applyBorder="1"/>
    <xf numFmtId="164" fontId="4" fillId="0" borderId="5" xfId="113" applyNumberFormat="1" applyBorder="1"/>
    <xf numFmtId="164" fontId="6" fillId="0" borderId="0" xfId="113" applyNumberFormat="1" applyFont="1" applyBorder="1"/>
    <xf numFmtId="164" fontId="6" fillId="0" borderId="5" xfId="113" applyNumberFormat="1" applyFont="1" applyBorder="1"/>
    <xf numFmtId="164" fontId="6" fillId="0" borderId="11" xfId="113" applyNumberFormat="1" applyFont="1" applyBorder="1"/>
    <xf numFmtId="164" fontId="6" fillId="0" borderId="12" xfId="113" applyNumberFormat="1" applyFont="1" applyBorder="1"/>
    <xf numFmtId="164" fontId="6" fillId="0" borderId="8" xfId="113" applyNumberFormat="1" applyFont="1" applyBorder="1"/>
    <xf numFmtId="164" fontId="6" fillId="0" borderId="9" xfId="113" applyNumberFormat="1" applyFont="1" applyBorder="1"/>
  </cellXfs>
  <cellStyles count="11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5" builtinId="9" hidden="1"/>
    <cellStyle name="Followed Hyperlink" xfId="11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4" builtinId="8" hidden="1"/>
    <cellStyle name="Hyperlink" xfId="116" builtinId="8" hidden="1"/>
    <cellStyle name="Normal" xfId="0" builtinId="0"/>
    <cellStyle name="Normal 2" xfId="11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'Epithelial Thickness'!$B$60:$E$60</c:f>
                <c:numCache>
                  <c:formatCode>General</c:formatCode>
                  <c:ptCount val="4"/>
                  <c:pt idx="0">
                    <c:v>7.523692383250248</c:v>
                  </c:pt>
                  <c:pt idx="1">
                    <c:v>3.636560342167061</c:v>
                  </c:pt>
                  <c:pt idx="2">
                    <c:v>4.919916711128805</c:v>
                  </c:pt>
                  <c:pt idx="3">
                    <c:v>4.469955495677041</c:v>
                  </c:pt>
                </c:numCache>
              </c:numRef>
            </c:plus>
            <c:minus>
              <c:numRef>
                <c:f>'Epithelial Thickness'!$B$60:$E$60</c:f>
                <c:numCache>
                  <c:formatCode>General</c:formatCode>
                  <c:ptCount val="4"/>
                  <c:pt idx="0">
                    <c:v>7.523692383250248</c:v>
                  </c:pt>
                  <c:pt idx="1">
                    <c:v>3.636560342167061</c:v>
                  </c:pt>
                  <c:pt idx="2">
                    <c:v>4.919916711128805</c:v>
                  </c:pt>
                  <c:pt idx="3">
                    <c:v>4.469955495677041</c:v>
                  </c:pt>
                </c:numCache>
              </c:numRef>
            </c:minus>
          </c:errBars>
          <c:cat>
            <c:strRef>
              <c:f>'Epithelial Thickness'!$B$1:$E$1</c:f>
              <c:strCache>
                <c:ptCount val="4"/>
                <c:pt idx="0">
                  <c:v>Native</c:v>
                </c:pt>
                <c:pt idx="1">
                  <c:v>PBS</c:v>
                </c:pt>
                <c:pt idx="2">
                  <c:v>0.5% Silk</c:v>
                </c:pt>
                <c:pt idx="3">
                  <c:v>2% Silk</c:v>
                </c:pt>
              </c:strCache>
            </c:strRef>
          </c:cat>
          <c:val>
            <c:numRef>
              <c:f>'Epithelial Thickness'!$B$59:$E$59</c:f>
              <c:numCache>
                <c:formatCode>0.0</c:formatCode>
                <c:ptCount val="4"/>
                <c:pt idx="0">
                  <c:v>38.346925</c:v>
                </c:pt>
                <c:pt idx="1">
                  <c:v>23.278225</c:v>
                </c:pt>
                <c:pt idx="2">
                  <c:v>24.41195</c:v>
                </c:pt>
                <c:pt idx="3">
                  <c:v>21.9653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97361160"/>
        <c:axId val="-2073102424"/>
      </c:barChart>
      <c:catAx>
        <c:axId val="-209736116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073102424"/>
        <c:crosses val="autoZero"/>
        <c:auto val="1"/>
        <c:lblAlgn val="ctr"/>
        <c:lblOffset val="100"/>
        <c:noMultiLvlLbl val="0"/>
      </c:catAx>
      <c:valAx>
        <c:axId val="-20731024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Epithelial Thickness (um)</a:t>
                </a:r>
              </a:p>
            </c:rich>
          </c:tx>
          <c:layout>
            <c:manualLayout>
              <c:xMode val="edge"/>
              <c:yMode val="edge"/>
              <c:x val="0.00921658986175115"/>
              <c:y val="0.171354895379113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0973611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61</xdr:row>
      <xdr:rowOff>0</xdr:rowOff>
    </xdr:from>
    <xdr:to>
      <xdr:col>4</xdr:col>
      <xdr:colOff>1117600</xdr:colOff>
      <xdr:row>77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activeCell="G57" sqref="G57"/>
    </sheetView>
  </sheetViews>
  <sheetFormatPr baseColWidth="10" defaultRowHeight="15" x14ac:dyDescent="0"/>
  <cols>
    <col min="1" max="1" width="13.1640625" bestFit="1" customWidth="1"/>
    <col min="2" max="2" width="8.6640625" customWidth="1"/>
    <col min="3" max="3" width="8" customWidth="1"/>
    <col min="4" max="4" width="8.33203125" bestFit="1" customWidth="1"/>
    <col min="5" max="5" width="6.83203125" bestFit="1" customWidth="1"/>
  </cols>
  <sheetData>
    <row r="1" spans="1:5">
      <c r="A1" s="3" t="s">
        <v>7</v>
      </c>
      <c r="B1" t="s">
        <v>8</v>
      </c>
      <c r="C1" t="s">
        <v>1</v>
      </c>
      <c r="D1" s="1" t="s">
        <v>2</v>
      </c>
      <c r="E1" s="2" t="s">
        <v>3</v>
      </c>
    </row>
    <row r="2" spans="1:5">
      <c r="D2" s="1"/>
      <c r="E2" s="2"/>
    </row>
    <row r="3" spans="1:5">
      <c r="A3" t="s">
        <v>0</v>
      </c>
    </row>
    <row r="4" spans="1:5">
      <c r="A4">
        <v>1</v>
      </c>
      <c r="B4" s="8">
        <v>32.268000000000001</v>
      </c>
      <c r="C4" s="8">
        <v>21.036000000000001</v>
      </c>
      <c r="D4" s="8">
        <v>21.452999999999999</v>
      </c>
      <c r="E4" s="8">
        <v>13.879</v>
      </c>
    </row>
    <row r="5" spans="1:5">
      <c r="A5">
        <v>2</v>
      </c>
      <c r="B5" s="8">
        <v>37.436999999999998</v>
      </c>
      <c r="C5" s="8">
        <v>21.98</v>
      </c>
      <c r="D5" s="8">
        <v>26.234999999999999</v>
      </c>
      <c r="E5" s="8">
        <v>17.105</v>
      </c>
    </row>
    <row r="6" spans="1:5">
      <c r="A6">
        <v>3</v>
      </c>
      <c r="B6" s="8">
        <v>40.662999999999997</v>
      </c>
      <c r="C6" s="8">
        <v>20.100000000000001</v>
      </c>
      <c r="D6" s="8">
        <v>24.574999999999999</v>
      </c>
      <c r="E6" s="8">
        <v>15.305999999999999</v>
      </c>
    </row>
    <row r="7" spans="1:5">
      <c r="A7">
        <v>4</v>
      </c>
      <c r="B7" s="8">
        <v>44.067</v>
      </c>
      <c r="C7" s="8">
        <v>20.635999999999999</v>
      </c>
      <c r="D7" s="8">
        <v>24.49</v>
      </c>
      <c r="E7" s="8">
        <v>18.620999999999999</v>
      </c>
    </row>
    <row r="8" spans="1:5">
      <c r="A8">
        <v>5</v>
      </c>
      <c r="B8" s="8">
        <v>35.889000000000003</v>
      </c>
      <c r="C8" s="8">
        <v>19.414999999999999</v>
      </c>
      <c r="D8" s="8">
        <v>22.449000000000002</v>
      </c>
      <c r="E8" s="8">
        <v>18.367000000000001</v>
      </c>
    </row>
    <row r="9" spans="1:5">
      <c r="A9">
        <v>6</v>
      </c>
      <c r="B9" s="8">
        <v>39.625</v>
      </c>
      <c r="C9" s="8">
        <v>21.452999999999999</v>
      </c>
      <c r="D9" s="8">
        <v>21.452999999999999</v>
      </c>
      <c r="E9" s="8">
        <v>18.815000000000001</v>
      </c>
    </row>
    <row r="10" spans="1:5">
      <c r="A10">
        <v>7</v>
      </c>
      <c r="B10" s="8">
        <v>38.424999999999997</v>
      </c>
      <c r="C10" s="8">
        <v>22.449000000000002</v>
      </c>
      <c r="D10" s="8">
        <v>22.588000000000001</v>
      </c>
      <c r="E10" s="8">
        <v>17.614999999999998</v>
      </c>
    </row>
    <row r="11" spans="1:5">
      <c r="A11">
        <v>8</v>
      </c>
      <c r="B11" s="8">
        <v>34.933</v>
      </c>
      <c r="C11" s="8">
        <v>21.646000000000001</v>
      </c>
      <c r="D11" s="8">
        <v>20.434000000000001</v>
      </c>
      <c r="E11" s="8">
        <v>20.635999999999999</v>
      </c>
    </row>
    <row r="12" spans="1:5">
      <c r="A12">
        <v>9</v>
      </c>
      <c r="B12" s="8">
        <v>33.811999999999998</v>
      </c>
      <c r="C12" s="8">
        <v>25.591999999999999</v>
      </c>
      <c r="D12" s="8">
        <v>19.707000000000001</v>
      </c>
      <c r="E12" s="8">
        <v>16.454000000000001</v>
      </c>
    </row>
    <row r="13" spans="1:5">
      <c r="A13">
        <v>10</v>
      </c>
      <c r="B13" s="8">
        <v>41.848999999999997</v>
      </c>
      <c r="C13" s="8">
        <v>22.817</v>
      </c>
      <c r="D13" s="8">
        <v>21.036000000000001</v>
      </c>
      <c r="E13" s="8">
        <v>20.434000000000001</v>
      </c>
    </row>
    <row r="14" spans="1:5">
      <c r="A14" s="3" t="s">
        <v>16</v>
      </c>
      <c r="B14" s="9">
        <f>AVERAGE(B4:B13)</f>
        <v>37.896799999999999</v>
      </c>
      <c r="C14" s="9">
        <f t="shared" ref="C14:E14" si="0">AVERAGE(C4:C13)</f>
        <v>21.712400000000002</v>
      </c>
      <c r="D14" s="9">
        <f t="shared" si="0"/>
        <v>22.442</v>
      </c>
      <c r="E14" s="9">
        <f t="shared" si="0"/>
        <v>17.723199999999999</v>
      </c>
    </row>
    <row r="15" spans="1:5">
      <c r="A15" s="3" t="s">
        <v>19</v>
      </c>
      <c r="B15" s="9">
        <f>STDEV(B4:B13)</f>
        <v>3.7417249973181557</v>
      </c>
      <c r="C15" s="9">
        <f t="shared" ref="C15:E15" si="1">STDEV(C4:C13)</f>
        <v>1.7143628035577012</v>
      </c>
      <c r="D15" s="9">
        <f t="shared" si="1"/>
        <v>2.0708981948259386</v>
      </c>
      <c r="E15" s="9">
        <f t="shared" si="1"/>
        <v>2.131010912949808</v>
      </c>
    </row>
    <row r="17" spans="1:5">
      <c r="A17" t="s">
        <v>4</v>
      </c>
    </row>
    <row r="18" spans="1:5">
      <c r="A18">
        <v>1</v>
      </c>
      <c r="B18" s="8">
        <v>31.151</v>
      </c>
      <c r="C18" s="8">
        <v>29.027999999999999</v>
      </c>
      <c r="D18" s="8">
        <v>20.059000000000001</v>
      </c>
      <c r="E18" s="8">
        <v>18.007000000000001</v>
      </c>
    </row>
    <row r="19" spans="1:5">
      <c r="A19">
        <v>2</v>
      </c>
      <c r="B19" s="8">
        <v>29.391999999999999</v>
      </c>
      <c r="C19" s="8">
        <v>30.768999999999998</v>
      </c>
      <c r="D19" s="8">
        <v>21.538</v>
      </c>
      <c r="E19" s="8">
        <v>22.027000000000001</v>
      </c>
    </row>
    <row r="20" spans="1:5">
      <c r="A20">
        <v>3</v>
      </c>
      <c r="B20" s="8">
        <v>33.281999999999996</v>
      </c>
      <c r="C20" s="8">
        <v>30.768999999999998</v>
      </c>
      <c r="D20" s="8">
        <v>23.128</v>
      </c>
      <c r="E20" s="8">
        <v>20.526</v>
      </c>
    </row>
    <row r="21" spans="1:5">
      <c r="A21">
        <v>4</v>
      </c>
      <c r="B21" s="8">
        <v>31.151</v>
      </c>
      <c r="C21" s="8">
        <v>29.872</v>
      </c>
      <c r="D21" s="8">
        <v>25.605</v>
      </c>
      <c r="E21" s="8">
        <v>18.526</v>
      </c>
    </row>
    <row r="22" spans="1:5">
      <c r="A22">
        <v>5</v>
      </c>
      <c r="B22" s="8">
        <v>37.21</v>
      </c>
      <c r="C22" s="8">
        <v>29.553000000000001</v>
      </c>
      <c r="D22" s="8">
        <v>23.077000000000002</v>
      </c>
      <c r="E22" s="8">
        <v>18.462</v>
      </c>
    </row>
    <row r="23" spans="1:5">
      <c r="A23">
        <v>6</v>
      </c>
      <c r="B23" s="8">
        <v>31.678999999999998</v>
      </c>
      <c r="C23" s="8">
        <v>28.617000000000001</v>
      </c>
      <c r="D23" s="8">
        <v>23.882999999999999</v>
      </c>
      <c r="E23" s="8">
        <v>18.526</v>
      </c>
    </row>
    <row r="24" spans="1:5">
      <c r="A24">
        <v>7</v>
      </c>
      <c r="B24" s="8">
        <v>35.116</v>
      </c>
      <c r="C24" s="8">
        <v>30.225999999999999</v>
      </c>
      <c r="D24" s="8">
        <v>25.044</v>
      </c>
      <c r="E24" s="8">
        <v>18.462</v>
      </c>
    </row>
    <row r="25" spans="1:5">
      <c r="A25">
        <v>8</v>
      </c>
      <c r="B25" s="8">
        <v>34.401000000000003</v>
      </c>
      <c r="C25" s="8">
        <v>26.154</v>
      </c>
      <c r="D25" s="8">
        <v>25.789000000000001</v>
      </c>
      <c r="E25" s="8">
        <v>20.059000000000001</v>
      </c>
    </row>
    <row r="26" spans="1:5">
      <c r="A26">
        <v>9</v>
      </c>
      <c r="B26" s="8">
        <v>32.454000000000001</v>
      </c>
      <c r="C26" s="8">
        <v>25.373000000000001</v>
      </c>
      <c r="D26" s="8">
        <v>24.806999999999999</v>
      </c>
      <c r="E26" s="8">
        <v>15.461</v>
      </c>
    </row>
    <row r="27" spans="1:5">
      <c r="A27">
        <v>10</v>
      </c>
      <c r="B27" s="8">
        <v>26.911999999999999</v>
      </c>
      <c r="C27" s="8">
        <v>24.806999999999999</v>
      </c>
      <c r="D27" s="8">
        <v>22.4</v>
      </c>
      <c r="E27" s="8">
        <v>15.151999999999999</v>
      </c>
    </row>
    <row r="28" spans="1:5">
      <c r="A28" s="3" t="s">
        <v>16</v>
      </c>
      <c r="B28" s="9">
        <f>AVERAGE(B18:B27)</f>
        <v>32.274799999999999</v>
      </c>
      <c r="C28" s="9">
        <f t="shared" ref="C28:E28" si="2">AVERAGE(C18:C27)</f>
        <v>28.5168</v>
      </c>
      <c r="D28" s="9">
        <f t="shared" si="2"/>
        <v>23.532999999999998</v>
      </c>
      <c r="E28" s="9">
        <f t="shared" si="2"/>
        <v>18.520800000000001</v>
      </c>
    </row>
    <row r="29" spans="1:5">
      <c r="A29" s="3" t="s">
        <v>19</v>
      </c>
      <c r="B29" s="9">
        <f>STDEV(B18:B27)</f>
        <v>2.942918007692366</v>
      </c>
      <c r="C29" s="9">
        <f t="shared" ref="C29:E29" si="3">STDEV(C18:C27)</f>
        <v>2.2478813630221279</v>
      </c>
      <c r="D29" s="9">
        <f t="shared" si="3"/>
        <v>1.8593836493729732</v>
      </c>
      <c r="E29" s="9">
        <f t="shared" si="3"/>
        <v>2.0992716620559375</v>
      </c>
    </row>
    <row r="30" spans="1:5">
      <c r="B30" s="9"/>
      <c r="C30" s="9"/>
      <c r="D30" s="9"/>
      <c r="E30" s="9"/>
    </row>
    <row r="31" spans="1:5">
      <c r="A31" t="s">
        <v>5</v>
      </c>
      <c r="B31" s="8"/>
      <c r="C31" s="8"/>
      <c r="D31" s="8"/>
      <c r="E31" s="8"/>
    </row>
    <row r="32" spans="1:5">
      <c r="A32">
        <v>1</v>
      </c>
      <c r="B32" s="8">
        <v>44.801000000000002</v>
      </c>
      <c r="C32" s="8">
        <v>21.757000000000001</v>
      </c>
      <c r="D32" s="8">
        <v>31.567</v>
      </c>
      <c r="E32" s="8">
        <v>19.277000000000001</v>
      </c>
    </row>
    <row r="33" spans="1:5">
      <c r="A33">
        <v>2</v>
      </c>
      <c r="B33" s="8">
        <v>35.082000000000001</v>
      </c>
      <c r="C33" s="8">
        <v>23.533999999999999</v>
      </c>
      <c r="D33" s="8">
        <v>31.716000000000001</v>
      </c>
      <c r="E33" s="8">
        <v>25.233000000000001</v>
      </c>
    </row>
    <row r="34" spans="1:5">
      <c r="A34">
        <v>3</v>
      </c>
      <c r="B34" s="8">
        <v>42.329000000000001</v>
      </c>
      <c r="C34" s="8">
        <v>23.533999999999999</v>
      </c>
      <c r="D34" s="8">
        <v>32.344000000000001</v>
      </c>
      <c r="E34" s="8">
        <v>23.484000000000002</v>
      </c>
    </row>
    <row r="35" spans="1:5">
      <c r="A35">
        <v>4</v>
      </c>
      <c r="B35" s="8">
        <v>43.323</v>
      </c>
      <c r="C35" s="8">
        <v>23.882999999999999</v>
      </c>
      <c r="D35" s="8">
        <v>32.124000000000002</v>
      </c>
      <c r="E35" s="8">
        <v>25.373000000000001</v>
      </c>
    </row>
    <row r="36" spans="1:5">
      <c r="A36">
        <v>5</v>
      </c>
      <c r="B36" s="8">
        <v>46.281999999999996</v>
      </c>
      <c r="C36" s="8">
        <v>23.280999999999999</v>
      </c>
      <c r="D36" s="8">
        <v>28.741</v>
      </c>
      <c r="E36" s="8">
        <v>25.605</v>
      </c>
    </row>
    <row r="37" spans="1:5">
      <c r="A37">
        <v>6</v>
      </c>
      <c r="B37" s="8">
        <v>52.87</v>
      </c>
      <c r="C37" s="8">
        <v>21.538</v>
      </c>
      <c r="D37" s="8">
        <v>26.558</v>
      </c>
      <c r="E37" s="8">
        <v>23.433</v>
      </c>
    </row>
    <row r="38" spans="1:5">
      <c r="A38">
        <v>7</v>
      </c>
      <c r="B38" s="8">
        <v>40.732999999999997</v>
      </c>
      <c r="C38" s="8">
        <v>20.925000000000001</v>
      </c>
      <c r="D38" s="8">
        <v>31.151</v>
      </c>
      <c r="E38" s="8">
        <v>24.081</v>
      </c>
    </row>
    <row r="39" spans="1:5">
      <c r="A39">
        <v>8</v>
      </c>
      <c r="B39" s="8">
        <v>49.231000000000002</v>
      </c>
      <c r="C39" s="8">
        <v>20.925000000000001</v>
      </c>
      <c r="D39" s="8">
        <v>23.433</v>
      </c>
      <c r="E39" s="8">
        <v>22.715</v>
      </c>
    </row>
    <row r="40" spans="1:5">
      <c r="A40">
        <v>9</v>
      </c>
      <c r="B40" s="8">
        <v>49.255000000000003</v>
      </c>
      <c r="C40" s="8">
        <v>20.925000000000001</v>
      </c>
      <c r="D40" s="8">
        <v>29.19</v>
      </c>
      <c r="E40" s="8">
        <v>21.373000000000001</v>
      </c>
    </row>
    <row r="41" spans="1:5">
      <c r="A41">
        <v>10</v>
      </c>
      <c r="B41" s="8">
        <v>40.470999999999997</v>
      </c>
      <c r="C41" s="8">
        <v>24.324999999999999</v>
      </c>
      <c r="D41" s="8">
        <v>26.867999999999999</v>
      </c>
      <c r="E41" s="8">
        <v>22.4</v>
      </c>
    </row>
    <row r="42" spans="1:5">
      <c r="A42" s="3" t="s">
        <v>16</v>
      </c>
      <c r="B42" s="9">
        <f>AVERAGE(B32:B41)</f>
        <v>44.4377</v>
      </c>
      <c r="C42" s="9">
        <f t="shared" ref="C42" si="4">AVERAGE(C32:C41)</f>
        <v>22.462700000000002</v>
      </c>
      <c r="D42" s="9">
        <f t="shared" ref="D42" si="5">AVERAGE(D32:D41)</f>
        <v>29.369199999999999</v>
      </c>
      <c r="E42" s="9">
        <f t="shared" ref="E42" si="6">AVERAGE(E32:E41)</f>
        <v>23.2974</v>
      </c>
    </row>
    <row r="43" spans="1:5">
      <c r="A43" s="3" t="s">
        <v>19</v>
      </c>
      <c r="B43" s="9">
        <f>STDEV(B32:B41)</f>
        <v>5.2014637053215909</v>
      </c>
      <c r="C43" s="9">
        <f t="shared" ref="C43:E43" si="7">STDEV(C32:C41)</f>
        <v>1.3702003949139046</v>
      </c>
      <c r="D43" s="9">
        <f t="shared" si="7"/>
        <v>2.9772289427885426</v>
      </c>
      <c r="E43" s="9">
        <f t="shared" si="7"/>
        <v>1.9736701401759671</v>
      </c>
    </row>
    <row r="44" spans="1:5">
      <c r="B44" s="8"/>
      <c r="C44" s="8"/>
      <c r="D44" s="8"/>
      <c r="E44" s="8"/>
    </row>
    <row r="45" spans="1:5">
      <c r="A45" t="s">
        <v>6</v>
      </c>
      <c r="B45" s="8"/>
      <c r="C45" s="8"/>
      <c r="D45" s="8"/>
      <c r="E45" s="8"/>
    </row>
    <row r="46" spans="1:5">
      <c r="B46" s="8">
        <v>37.792000000000002</v>
      </c>
      <c r="C46" s="8">
        <v>20.094000000000001</v>
      </c>
      <c r="D46" s="8">
        <v>17.89</v>
      </c>
      <c r="E46" s="8">
        <v>26.841000000000001</v>
      </c>
    </row>
    <row r="47" spans="1:5">
      <c r="B47" s="8">
        <v>38.338999999999999</v>
      </c>
      <c r="C47" s="8">
        <v>18.32</v>
      </c>
      <c r="D47" s="8">
        <v>21.448</v>
      </c>
      <c r="E47" s="8">
        <v>28.713999999999999</v>
      </c>
    </row>
    <row r="48" spans="1:5">
      <c r="B48" s="8">
        <v>36.165999999999997</v>
      </c>
      <c r="C48" s="8">
        <v>20.888000000000002</v>
      </c>
      <c r="D48" s="8">
        <v>24.454999999999998</v>
      </c>
      <c r="E48" s="8">
        <v>28.666</v>
      </c>
    </row>
    <row r="49" spans="1:5">
      <c r="B49" s="8">
        <v>37.771000000000001</v>
      </c>
      <c r="C49" s="8">
        <v>24.010999999999999</v>
      </c>
      <c r="D49" s="8">
        <v>22.433</v>
      </c>
      <c r="E49" s="8">
        <v>28.882000000000001</v>
      </c>
    </row>
    <row r="50" spans="1:5">
      <c r="B50" s="8">
        <v>36.503</v>
      </c>
      <c r="C50" s="8">
        <v>20.925999999999998</v>
      </c>
      <c r="D50" s="8">
        <v>21.332999999999998</v>
      </c>
      <c r="E50" s="8">
        <v>30.826000000000001</v>
      </c>
    </row>
    <row r="51" spans="1:5">
      <c r="B51" s="8">
        <v>36.607999999999997</v>
      </c>
      <c r="C51" s="8">
        <v>19.677</v>
      </c>
      <c r="D51" s="8">
        <v>20.015000000000001</v>
      </c>
      <c r="E51" s="8">
        <v>30.244</v>
      </c>
    </row>
    <row r="52" spans="1:5">
      <c r="B52" s="8">
        <v>38.79</v>
      </c>
      <c r="C52" s="8">
        <v>21.992999999999999</v>
      </c>
      <c r="D52" s="8">
        <v>21.443000000000001</v>
      </c>
      <c r="E52" s="8">
        <v>32.072000000000003</v>
      </c>
    </row>
    <row r="53" spans="1:5">
      <c r="B53" s="8">
        <v>42.612000000000002</v>
      </c>
      <c r="C53" s="8">
        <v>21.350999999999999</v>
      </c>
      <c r="D53" s="8">
        <v>21.37</v>
      </c>
      <c r="E53" s="8">
        <v>23.259</v>
      </c>
    </row>
    <row r="54" spans="1:5">
      <c r="B54" s="8">
        <v>44.098999999999997</v>
      </c>
      <c r="C54" s="8">
        <v>17.823</v>
      </c>
      <c r="D54" s="8">
        <v>25.024999999999999</v>
      </c>
      <c r="E54" s="8">
        <v>24.917999999999999</v>
      </c>
    </row>
    <row r="55" spans="1:5">
      <c r="B55" s="8">
        <v>39.103999999999999</v>
      </c>
      <c r="C55" s="8">
        <v>19.126999999999999</v>
      </c>
      <c r="D55" s="8">
        <v>27.623999999999999</v>
      </c>
      <c r="E55" s="8">
        <v>28.776</v>
      </c>
    </row>
    <row r="56" spans="1:5">
      <c r="A56" s="3" t="s">
        <v>16</v>
      </c>
      <c r="B56" s="9">
        <f>AVERAGE(B46:B55)</f>
        <v>38.778399999999998</v>
      </c>
      <c r="C56" s="9">
        <f t="shared" ref="C56" si="8">AVERAGE(C46:C55)</f>
        <v>20.420999999999999</v>
      </c>
      <c r="D56" s="9">
        <f t="shared" ref="D56" si="9">AVERAGE(D46:D55)</f>
        <v>22.303599999999999</v>
      </c>
      <c r="E56" s="9">
        <f t="shared" ref="E56" si="10">AVERAGE(E46:E55)</f>
        <v>28.319800000000004</v>
      </c>
    </row>
    <row r="57" spans="1:5">
      <c r="A57" s="3" t="s">
        <v>19</v>
      </c>
      <c r="B57" s="9">
        <f>STDEV(B46:B55)</f>
        <v>2.6247761894006212</v>
      </c>
      <c r="C57" s="9">
        <f t="shared" ref="C57:E57" si="11">STDEV(C46:C55)</f>
        <v>1.8316963600868881</v>
      </c>
      <c r="D57" s="9">
        <f t="shared" si="11"/>
        <v>2.7560408882630556</v>
      </c>
      <c r="E57" s="9">
        <f t="shared" si="11"/>
        <v>2.6715125470206744</v>
      </c>
    </row>
    <row r="58" spans="1:5">
      <c r="B58" s="8"/>
      <c r="C58" s="8"/>
      <c r="D58" s="8"/>
      <c r="E58" s="8"/>
    </row>
    <row r="59" spans="1:5">
      <c r="A59" s="3" t="s">
        <v>21</v>
      </c>
      <c r="B59" s="9">
        <f>AVERAGE(B14,B28,B42,B56)</f>
        <v>38.346924999999999</v>
      </c>
      <c r="C59" s="9">
        <f>AVERAGE(C14,C28,C42,C56)</f>
        <v>23.278224999999999</v>
      </c>
      <c r="D59" s="9">
        <f>AVERAGE(D14,D28,D42,D56)</f>
        <v>24.411950000000001</v>
      </c>
      <c r="E59" s="9">
        <f>AVERAGE(E14,E28,E42,E56)</f>
        <v>21.965299999999999</v>
      </c>
    </row>
    <row r="60" spans="1:5">
      <c r="A60" s="3" t="s">
        <v>20</v>
      </c>
      <c r="B60" s="9">
        <f>SQRT(B15^2+B29^2+B43^2+B57^2)</f>
        <v>7.5236923832502489</v>
      </c>
      <c r="C60" s="9">
        <f>SQRT(C15^2+C29^2+C43^2+C57^2)</f>
        <v>3.6365603421670616</v>
      </c>
      <c r="D60" s="9">
        <f>SQRT(D15^2+D29^2+D43^2+D57^2)</f>
        <v>4.9199167111288054</v>
      </c>
      <c r="E60" s="9">
        <f>SQRT(E15^2+E29^2+E43^2+E57^2)</f>
        <v>4.4699554956770413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L19" sqref="L19"/>
    </sheetView>
  </sheetViews>
  <sheetFormatPr baseColWidth="10" defaultColWidth="8.83203125" defaultRowHeight="14" x14ac:dyDescent="0"/>
  <cols>
    <col min="1" max="16384" width="8.83203125" style="4"/>
  </cols>
  <sheetData>
    <row r="1" spans="1:7">
      <c r="A1" s="10" t="s">
        <v>22</v>
      </c>
    </row>
    <row r="3" spans="1:7">
      <c r="A3" s="16" t="s">
        <v>9</v>
      </c>
      <c r="B3" s="17" t="s">
        <v>10</v>
      </c>
      <c r="C3" s="17" t="s">
        <v>11</v>
      </c>
      <c r="D3" s="18" t="s">
        <v>12</v>
      </c>
    </row>
    <row r="4" spans="1:7">
      <c r="A4" s="5" t="s">
        <v>13</v>
      </c>
      <c r="B4" s="19">
        <v>6.9909999999999997</v>
      </c>
      <c r="C4" s="19">
        <v>7.0149999999999997</v>
      </c>
      <c r="D4" s="20">
        <v>8.8710000000000004</v>
      </c>
    </row>
    <row r="5" spans="1:7">
      <c r="A5" s="5" t="s">
        <v>14</v>
      </c>
      <c r="B5" s="19">
        <v>7.5380000000000003</v>
      </c>
      <c r="C5" s="19">
        <v>7.1390000000000002</v>
      </c>
      <c r="D5" s="20">
        <v>8.9450000000000003</v>
      </c>
    </row>
    <row r="6" spans="1:7">
      <c r="A6" s="5" t="s">
        <v>15</v>
      </c>
      <c r="B6" s="19">
        <v>7.1479999999999997</v>
      </c>
      <c r="C6" s="19">
        <v>7.2919999999999998</v>
      </c>
      <c r="D6" s="20">
        <v>8.6519999999999992</v>
      </c>
    </row>
    <row r="7" spans="1:7">
      <c r="A7" s="12" t="s">
        <v>16</v>
      </c>
      <c r="B7" s="21">
        <f>AVERAGE(B4:B6)</f>
        <v>7.2256666666666662</v>
      </c>
      <c r="C7" s="21">
        <f>AVERAGE(C4:C6)</f>
        <v>7.1486666666666663</v>
      </c>
      <c r="D7" s="22">
        <f>AVERAGE(D4:D6)</f>
        <v>8.8226666666666684</v>
      </c>
      <c r="E7" s="10"/>
      <c r="F7" s="13" t="s">
        <v>16</v>
      </c>
      <c r="G7" s="14" t="s">
        <v>17</v>
      </c>
    </row>
    <row r="8" spans="1:7">
      <c r="A8" s="15" t="s">
        <v>17</v>
      </c>
      <c r="B8" s="23">
        <f>_xlfn.STDEV.P(B4:B6)</f>
        <v>0.22996569792519567</v>
      </c>
      <c r="C8" s="23">
        <f>_xlfn.STDEV.P(C4:C6)</f>
        <v>0.11329116862707744</v>
      </c>
      <c r="D8" s="24">
        <f>_xlfn.STDEV.P(D4:D6)</f>
        <v>0.12440346547513194</v>
      </c>
      <c r="E8" s="10"/>
      <c r="F8" s="25">
        <f>AVERAGE(B7:D7)</f>
        <v>7.7323333333333339</v>
      </c>
      <c r="G8" s="26">
        <f>_xlfn.STDEV.P(B7:D7)</f>
        <v>0.77162267693190367</v>
      </c>
    </row>
    <row r="9" spans="1:7">
      <c r="B9" s="6"/>
      <c r="C9" s="6"/>
      <c r="D9" s="6"/>
    </row>
    <row r="10" spans="1:7">
      <c r="A10" s="11" t="s">
        <v>2</v>
      </c>
      <c r="B10" s="17" t="s">
        <v>10</v>
      </c>
      <c r="C10" s="17" t="s">
        <v>11</v>
      </c>
      <c r="D10" s="18" t="s">
        <v>12</v>
      </c>
    </row>
    <row r="11" spans="1:7">
      <c r="A11" s="5" t="s">
        <v>13</v>
      </c>
      <c r="B11" s="19">
        <v>20.042000000000002</v>
      </c>
      <c r="C11" s="19">
        <v>23.837</v>
      </c>
      <c r="D11" s="20">
        <v>19.181000000000001</v>
      </c>
    </row>
    <row r="12" spans="1:7">
      <c r="A12" s="5" t="s">
        <v>14</v>
      </c>
      <c r="B12" s="19">
        <v>21.036999999999999</v>
      </c>
      <c r="C12" s="19">
        <v>23.045999999999999</v>
      </c>
      <c r="D12" s="20">
        <v>18.425999999999998</v>
      </c>
    </row>
    <row r="13" spans="1:7">
      <c r="A13" s="5" t="s">
        <v>15</v>
      </c>
      <c r="B13" s="19">
        <v>20.221</v>
      </c>
      <c r="C13" s="19">
        <v>23.713000000000001</v>
      </c>
      <c r="D13" s="20">
        <v>18.071000000000002</v>
      </c>
    </row>
    <row r="14" spans="1:7">
      <c r="A14" s="12" t="s">
        <v>16</v>
      </c>
      <c r="B14" s="21">
        <f>AVERAGE(B11:B13)</f>
        <v>20.433333333333334</v>
      </c>
      <c r="C14" s="21">
        <f>AVERAGE(C11:C13)</f>
        <v>23.532</v>
      </c>
      <c r="D14" s="22">
        <f>AVERAGE(D11:D13)</f>
        <v>18.559333333333331</v>
      </c>
      <c r="F14" s="13" t="s">
        <v>16</v>
      </c>
      <c r="G14" s="14" t="s">
        <v>17</v>
      </c>
    </row>
    <row r="15" spans="1:7">
      <c r="A15" s="15" t="s">
        <v>17</v>
      </c>
      <c r="B15" s="23">
        <f>_xlfn.STDEV.P(B11:B13)</f>
        <v>0.43306684113296884</v>
      </c>
      <c r="C15" s="23">
        <f>_xlfn.STDEV.P(C11:C13)</f>
        <v>0.34736244279810519</v>
      </c>
      <c r="D15" s="24">
        <f>_xlfn.STDEV.P(D11:D13)</f>
        <v>0.46285946991380544</v>
      </c>
      <c r="F15" s="25">
        <f>AVERAGE(B14:D14)</f>
        <v>20.841555555555555</v>
      </c>
      <c r="G15" s="26">
        <f>_xlfn.STDEV.P(B14:D14)</f>
        <v>2.0505019680526173</v>
      </c>
    </row>
    <row r="16" spans="1:7">
      <c r="B16" s="7"/>
    </row>
    <row r="17" spans="1:14">
      <c r="A17" s="11" t="s">
        <v>18</v>
      </c>
      <c r="B17" s="17" t="s">
        <v>10</v>
      </c>
      <c r="C17" s="17" t="s">
        <v>11</v>
      </c>
      <c r="D17" s="18" t="s">
        <v>12</v>
      </c>
      <c r="K17" s="7"/>
      <c r="L17" s="6"/>
      <c r="M17" s="6"/>
      <c r="N17" s="6"/>
    </row>
    <row r="18" spans="1:14">
      <c r="A18" s="5" t="s">
        <v>13</v>
      </c>
      <c r="B18" s="19">
        <v>26.015000000000001</v>
      </c>
      <c r="C18" s="19">
        <v>29.266999999999999</v>
      </c>
      <c r="D18" s="20">
        <v>27.658999999999999</v>
      </c>
      <c r="K18" s="7"/>
      <c r="L18" s="6"/>
      <c r="M18" s="6"/>
      <c r="N18" s="6"/>
    </row>
    <row r="19" spans="1:14">
      <c r="A19" s="5" t="s">
        <v>14</v>
      </c>
      <c r="B19" s="19">
        <v>25.503</v>
      </c>
      <c r="C19" s="19">
        <v>29.873000000000001</v>
      </c>
      <c r="D19" s="20">
        <v>28.625</v>
      </c>
      <c r="K19" s="7"/>
      <c r="L19" s="6"/>
      <c r="M19" s="6"/>
      <c r="N19" s="6"/>
    </row>
    <row r="20" spans="1:14">
      <c r="A20" s="5" t="s">
        <v>15</v>
      </c>
      <c r="B20" s="19">
        <v>25.321000000000002</v>
      </c>
      <c r="C20" s="19">
        <v>29.995000000000001</v>
      </c>
      <c r="D20" s="20">
        <v>27.018999999999998</v>
      </c>
    </row>
    <row r="21" spans="1:14">
      <c r="A21" s="12" t="s">
        <v>16</v>
      </c>
      <c r="B21" s="21">
        <f>AVERAGE(B18:B20)</f>
        <v>25.613</v>
      </c>
      <c r="C21" s="21">
        <f>AVERAGE(C18:C20)</f>
        <v>29.71166666666667</v>
      </c>
      <c r="D21" s="22">
        <f>AVERAGE(D18:D20)</f>
        <v>27.767666666666667</v>
      </c>
      <c r="F21" s="13" t="s">
        <v>16</v>
      </c>
      <c r="G21" s="14" t="s">
        <v>17</v>
      </c>
    </row>
    <row r="22" spans="1:14">
      <c r="A22" s="15" t="s">
        <v>17</v>
      </c>
      <c r="B22" s="23">
        <f>_xlfn.STDEV.P(B18:B20)</f>
        <v>0.29380719301383096</v>
      </c>
      <c r="C22" s="23">
        <f>_xlfn.STDEV.P(C18:C20)</f>
        <v>0.31834712012030097</v>
      </c>
      <c r="D22" s="24">
        <f>_xlfn.STDEV.P(D18:D20)</f>
        <v>0.66013399313237142</v>
      </c>
      <c r="F22" s="25">
        <f>AVERAGE(B21:D21)</f>
        <v>27.697444444444447</v>
      </c>
      <c r="G22" s="26">
        <f>_xlfn.STDEV.P(B21:D21)</f>
        <v>1.6740102511596691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Epithelial Thickness</vt:lpstr>
      <vt:lpstr>ZO-1</vt:lpstr>
    </vt:vector>
  </TitlesOfParts>
  <Company>Cornell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Lawrence</dc:creator>
  <cp:lastModifiedBy>Brian Lawrence</cp:lastModifiedBy>
  <dcterms:created xsi:type="dcterms:W3CDTF">2015-01-30T16:52:50Z</dcterms:created>
  <dcterms:modified xsi:type="dcterms:W3CDTF">2017-09-19T00:33:21Z</dcterms:modified>
</cp:coreProperties>
</file>